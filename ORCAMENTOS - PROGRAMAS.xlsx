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tc={3db4590b-99b0-46f9-8e5c-535b09fd0c09}</author>
    <author>tc={8244c2f2-4132-4074-9ca2-389a2fe912cd}</author>
    <author>tc={8ba3ea41-de65-44d7-bcaf-e66d12b358bb}</author>
    <author>tc={bbd46d50-5793-4f27-acbb-bf2b066df97a}</author>
  </authors>
  <commentList>
    <comment authorId="0" xr:uid="{3db4590b-99b0-46f9-8e5c-535b09fd0c09}" ref="A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apareceram os seguintes órgãos: TCE, TJAC, DPE, MPAC (estão listados na planilha anterior, mas não estão nesta) @luisalnr@gmail.com
Assigned to luisalnr@gmail.com
</t>
      </text>
    </comment>
    <comment authorId="1" xr:uid="{8244c2f2-4132-4074-9ca2-389a2fe912cd}" ref="E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esse valor, pelo QDD esse Projeto/Atividade só computa R$ 47.042.981,28 @luisalnr@gmail.com
Reply:
	De acordo com o SICAF, é este valor mesmo de R$ 97.285.647,31
</t>
      </text>
    </comment>
    <comment authorId="2" xr:uid="{8ba3ea41-de65-44d7-bcaf-e66d12b358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@luisalnr@gmail.com manter apenas no Eixo VI - linha 163 da planilha
</t>
      </text>
    </comment>
    <comment authorId="3" xr:uid="{bbd46d50-5793-4f27-acbb-bf2b066df97a}" ref="E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QDD, consta valor inicial de R$2000, consideramos R$1000 ou R$2000 @rsena.acre@gmail.com
Reply:
	Apenas o valor relativo à obra = R$ 1.000,00
</t>
      </text>
    </comment>
  </commentList>
</comments>
</file>

<file path=xl/sharedStrings.xml><?xml version="1.0" encoding="utf-8"?>
<sst xmlns="http://schemas.openxmlformats.org/spreadsheetml/2006/main" count="1054" uniqueCount="273">
  <si>
    <t>Eixo</t>
  </si>
  <si>
    <t>Função</t>
  </si>
  <si>
    <t>Subfunção</t>
  </si>
  <si>
    <t>Órgão</t>
  </si>
  <si>
    <t>Dotação</t>
  </si>
  <si>
    <t>Código - Projeto/Atividade</t>
  </si>
  <si>
    <t>Aplicação Programada</t>
  </si>
  <si>
    <t>Classificação do Gasto</t>
  </si>
  <si>
    <t>Eixo I – Desenvolvimento Sustentável e Bioeconomia</t>
  </si>
  <si>
    <t>18 – Gestão Ambiental</t>
  </si>
  <si>
    <t>715/199 - SEFAZ (Departamento do Tesouro Estadual)</t>
  </si>
  <si>
    <t>PROSPECÇÃO DE MERCADO DA ECONOMIA
VERDE NACIONAL E INTERNACIONAL.</t>
  </si>
  <si>
    <t>Exclusivo</t>
  </si>
  <si>
    <t>715/512 - CDSA</t>
  </si>
  <si>
    <t>PROSPECÇÃO DE MERCADOS DA ECONOMIA
 VERDE NACIONAL E INTERNACIONAL.</t>
  </si>
  <si>
    <t>INCENTIVO E REGULAÇÃO DE SERVIÇOS AMBIENTAIS - CDSA.</t>
  </si>
  <si>
    <t>720/001 - SEMA</t>
  </si>
  <si>
    <t>PROMOÇÃO DO MEIO AMBIENTE E CIDADES SUSTENTÁVEIS E RESILIENTES.</t>
  </si>
  <si>
    <t>MELHORIA, MODERNIZAÇÃO E INOVAÇÃO DOS SERVIÇOS DA SEMA.</t>
  </si>
  <si>
    <t>FOMENTOS DAS CADEIAS DE VALOR DA SOCIOBIODIVERSIDADE.</t>
  </si>
  <si>
    <t>CONSOLIDAÇÃO DA GESTÃO DAS UNIDADES DE CONSERVAÇÃO ESTADUAIS.</t>
  </si>
  <si>
    <t>INSTRUMENTALIZAÇÃO DA BASE LEGAL DA POLÍTICA ESTADUAL DE MEIO AMBIENTE.</t>
  </si>
  <si>
    <t>CONSOLIDAÇÃO DOS SISTEMAS DE OUVIDORIA.</t>
  </si>
  <si>
    <t xml:space="preserve">720/622 - SEMA (Fundo Est. de Meio Ambiente e Florestas) </t>
  </si>
  <si>
    <t xml:space="preserve">20 – Agricultura </t>
  </si>
  <si>
    <t>753/001 - SEAGRI</t>
  </si>
  <si>
    <t>AMPLIAÇÃO DO PROGRAMA DE AQUISIÇÃO DE ALIMENTOS.</t>
  </si>
  <si>
    <t>753/401 - CAGEACRE</t>
  </si>
  <si>
    <t>MELHORIA, MODERNIZAÇÃO E INOVAÇÃO DOS SERVIÇOS DA CAGEACRE.</t>
  </si>
  <si>
    <t>PROMOÇÃO DA LOGÍSTICA DE BENEFICIAMENTO, ARMAZENAGEM E ESCOAMENTO DA PRODUÇÃO.</t>
  </si>
  <si>
    <t>PROMOÇÃO DA ASSISTÊNCIA TÉCNICA E EXTENSÃO RURAL - ATER - SEAGRI.</t>
  </si>
  <si>
    <t>PROMOÇÃO DE ASSISTÊNCIA TÉCNICA E EXTENSÃO RURAL PARA OS POVOS ORIGINÁRIOS.</t>
  </si>
  <si>
    <t>MELHORIA, MODERNIZAÇÃO E INOVAÇÃO DOS SERVIÇOS DA SEAGRI.</t>
  </si>
  <si>
    <t>753/402 - EMATER</t>
  </si>
  <si>
    <t>PROMOÇÃO DA ASSISTÊNCIA TÉCNICA E EXTENSÃO RURAL - ATER - EMATER.</t>
  </si>
  <si>
    <t>FORTALECIMENTO, CONSOLIDAÇÃO E AMPLIAÇÃO DAS CADEIAS DE VALOR AGROFLORESTAL E AGROPECUÁRIA.</t>
  </si>
  <si>
    <t>CONSOLIDAÇÃO E AMPLIAÇÃO DAS CADEIAS DE VALOR FLORESTAL.</t>
  </si>
  <si>
    <t>PROMOÇÃO DE FEIRAS E EVENTOS.</t>
  </si>
  <si>
    <t>753/610 - SEAGRI (Fundo Agropecuário - FUNAGRO)</t>
  </si>
  <si>
    <t>22 – Indústria</t>
  </si>
  <si>
    <t>761/615 - SEICT (Fundo de Desenvolvimento Sustentável - FDS)</t>
  </si>
  <si>
    <t>MANUTENÇÃO DAS ATIVIDADES ADMINISTRATIVAS E OPERACIONAIS-FDS.</t>
  </si>
  <si>
    <t xml:space="preserve">23 – Comércio e Serviços </t>
  </si>
  <si>
    <t>715/205 - JUCEAC</t>
  </si>
  <si>
    <t>PROMOVER O PROCESSO DE LEGALIZAÇAO DE EMPRESAS, SIMPLIFICANDO, INTEGRANDO E DESBUROCRATIZANDO(SIMPLIFICA MAIS).</t>
  </si>
  <si>
    <t>Não Exclusivo</t>
  </si>
  <si>
    <t>761/001 - SEICT</t>
  </si>
  <si>
    <t>FOMENTAR O DESENVOLVIMENTO DA INDÚSTRIA E DO COMÉRCIO.</t>
  </si>
  <si>
    <t>FOMENTO AO DESENVOLVIMENTO DOS NEGÓCIOS NO ESTADO DO ACRE.</t>
  </si>
  <si>
    <t>761/506 - ANAC</t>
  </si>
  <si>
    <t>FOMENTO AO DESENVOLVIMENTO DOS NEGÓCIOS DO ESTADO DO ACRE.</t>
  </si>
  <si>
    <t>MANUTENÇÃO DAS ATIVIDADES ADMINISTRATIVAS E OPERACIONAIS-ANAC.</t>
  </si>
  <si>
    <t>FOMENTAR O DESENVOLVIMENTO DA INDÚSTRIA E DO COMÉRCIO DO ESTADO DO ACRE.</t>
  </si>
  <si>
    <t>Eixo II – Mitigação das Mudanças Climáticas</t>
  </si>
  <si>
    <t>04 – Administração</t>
  </si>
  <si>
    <t>713/001 - SEPLAN</t>
  </si>
  <si>
    <t>APRIMORAMENTO DA GESTÃO ORÇAMENTARIA.</t>
  </si>
  <si>
    <t>GESTÃO ESTRATÉGICA DE RECURSOS.</t>
  </si>
  <si>
    <t>PROGRAMA ESTADUAL DE CONTRAPARTIDA DE CONV. CONTRATOS, OP. DE CRÉDITOS E OUTROS INSTRUMENTOS CONGÊNERES.</t>
  </si>
  <si>
    <t>PROGRAMA DE OPERAÇÕES ESPECIAIS-TRANSFERÊNCIAS CONSTITUCIONAIS E AS DECORRENTES DE LEGISLAÇÃO ESPECÍFICA.</t>
  </si>
  <si>
    <t>04 - Administração</t>
  </si>
  <si>
    <t>PROMOÇÃO DA POLÍTICA ESTADUAL DE DESENVOLVIMENTO REGIONAL SUSTENTÁVEL.</t>
  </si>
  <si>
    <t>PROMOÇÃO DA TRANSIÇÃO E EFICIÊNCIA ENERGÉTICA NA ADMINISTRAÇÃO PÚBLICA.</t>
  </si>
  <si>
    <t>714/001 - SEAD</t>
  </si>
  <si>
    <t>715/001 - SEFAZ</t>
  </si>
  <si>
    <t>06 - Segurança Pública</t>
  </si>
  <si>
    <t>719/001 - SEJUSP</t>
  </si>
  <si>
    <t>MONITORAMENTO AMBIENTAL-COMANDO E CONTROLE.</t>
  </si>
  <si>
    <t>719/637 - SEJUSP (Fundo Est. de Segurança - FUNDESEG)</t>
  </si>
  <si>
    <t>17 - Saneamento</t>
  </si>
  <si>
    <t>744/203 - SANEACRE</t>
  </si>
  <si>
    <t>EFICIÊNCIA ENERGÉTICA.</t>
  </si>
  <si>
    <t>715/210 - AGEAC</t>
  </si>
  <si>
    <t>18 - Gestão Ambiental</t>
  </si>
  <si>
    <t>CONSTRUÇÃO, REFORMA E AMPLIAÇÃO DOS PRÉDIOS DA SEMA.</t>
  </si>
  <si>
    <t>MANUTENÇÃO DAS ATIVIDADES ADMINISTRATIVAS E OPERACIONAIS-SEMA.</t>
  </si>
  <si>
    <t>720/605 - SEMA (Fundo Est. de Comando e Controle Ambiental)</t>
  </si>
  <si>
    <t>MANUTENÇÃO DAS ATIVIDADES ADMINISTRATIVAS E OPERACIONAIS-IMAC.</t>
  </si>
  <si>
    <t>MANUTENÇÃO DAS ATIVIDADES ADMINISTRATIVAS E OPERACIONAIS-FUNDO ESTADUAL DE COMANDO E CONTROLE AMBIENTAL(FECCA).</t>
  </si>
  <si>
    <t>MANUTENÇÃO DA ATIVIDADES ADMINISTRATIVAS E OPERACIONAIS-FUNDO ESTADUAL DE MEIO AMBIENTE E FLORESTAS.</t>
  </si>
  <si>
    <t>720/202 - IMAC</t>
  </si>
  <si>
    <t>720/215 - IMC</t>
  </si>
  <si>
    <t>MANUTENÇÃO DAS ATIVIDADES ADMINISTRATIVAS E OPERACIONAIS-IMC.</t>
  </si>
  <si>
    <t>INCENTIVO E REGULAÇÃO DE SERVIÇOS AMBIENTAIS - IMC.</t>
  </si>
  <si>
    <t>MELHORIA, MODERNIZAÇÃO E INOVAÇÃO DOS SERVIÇOS DO IMC.</t>
  </si>
  <si>
    <t>APOIO A REGULARIZAÇÃO AMBIENTAL.</t>
  </si>
  <si>
    <t>IMPLEMENTAÇÃO DO ZONEAMENTO ECOLÓGICO ECONÔMICO-ZEE.</t>
  </si>
  <si>
    <t>MONITORAMENTO DAS AÇÕES DE IMPLEMENTAÇÃO DO PLANO ESTADUAL DE PREVENÇÃO E CONTROLE DO DESMATAMENTO E QUEIMADAS-PPCDQ-AC NOS MUNICÍPIOS.</t>
  </si>
  <si>
    <t>MONITORAMENTO AMBIENTAL.</t>
  </si>
  <si>
    <t>FORTALECIMENTO DA FISCALIZAÇÃO, DO MONITORAMENTO E DO CONTROLE AMBIENTAL DOS RECURSOS HIDRICOS E DA FAUNA NO ESTADO DO ACRE.</t>
  </si>
  <si>
    <t>FORTALECIMENTO DA FISCALIZAÇÃO, LICENCIAMENTO, MONITORAMENTO E O CONTROLE AMBIENTAL NO ESTADO DO ACRE.</t>
  </si>
  <si>
    <t>MELHORIA, MODERNIZAÇÃO E INOVAÇÃO DOS SERVIÇOS DO IMAC.</t>
  </si>
  <si>
    <t>FORTALECIMENTO DA EDUCAÇÃO AMBIENTAL.</t>
  </si>
  <si>
    <t>25 – Energia</t>
  </si>
  <si>
    <t>PROMOÇÃO DA REGULAÇÃO DE ENERGIA ELÉTRICA.</t>
  </si>
  <si>
    <t xml:space="preserve">26 – Transporte </t>
  </si>
  <si>
    <t>744/201 - DERACRE</t>
  </si>
  <si>
    <t>FORTALECIMENTO DAS AÇÕES DE APOIO AOS MUNICÍPIOS.</t>
  </si>
  <si>
    <t>RAMAIS DO ACRE-CONSTRUÇÃO, RECUPERAÇÃO E MANUTENÇÃO DE RAMAIS, GALERIAS E SISTEMAS DE DRENAGENS.</t>
  </si>
  <si>
    <t>PROMOÇÃO DA REGULAÇÃO E FISCALIZAÇÃO DO TRANSPORTE INTERMUNICIPAL(REGULAR E FLUVIAL).</t>
  </si>
  <si>
    <t>Eixo III – Adaptação às Mudanças Climáticas</t>
  </si>
  <si>
    <t>03 - Essencial à Justiça</t>
  </si>
  <si>
    <t>510/001 - PGE</t>
  </si>
  <si>
    <t>CONSTRUÇÃO, REFORMA E AMPLIAÇÃO DOS PRÉDIOS DA PGE.</t>
  </si>
  <si>
    <t>PROGRAMA ESTADUAL DE ENFRENTAMENTO ÀS DEMANDAS CONTINGENTES.</t>
  </si>
  <si>
    <t>445/001 - SEGOV</t>
  </si>
  <si>
    <t>MANUTENÇÃO DAS ATIVIDADES ADMINISTRATIVAS E OPERACONAIS-SEGOV.</t>
  </si>
  <si>
    <t>722/001 - SEPI</t>
  </si>
  <si>
    <t>MANUTENÇÃO DAS ATIVIDADES ADMINISTRATIVAS E FINANCEIRAS-SEPI.</t>
  </si>
  <si>
    <t>MELHORIA, MODERNIZAÇÃO E INOVAÇÃO DOS SERVIÇOS DA SEFAZ.</t>
  </si>
  <si>
    <t>MODERNIZAÇÃO DA GESTÃO TRIBUTÁRIA.</t>
  </si>
  <si>
    <t>MODERNIZAÇÃO, APARELHAMENTO E MANUTENÇÃO DA ESTRUTURA DO FISCO.</t>
  </si>
  <si>
    <t>PROGRAMA DE REESTRUTURAÇÃO E DESENVOLVIMENTO DO FISCO ESTADUAL(PROFISCO).</t>
  </si>
  <si>
    <t>ADMINISTRAÇÃO E GESTÃO DAS AGÊNCIAS E POSTOS FISCAIS.</t>
  </si>
  <si>
    <t xml:space="preserve">06 – Segurança Pública </t>
  </si>
  <si>
    <t>FORTALECIMENTO DAS AÇÕES DE ENFRENTAMENTO À VIOLÊNCIA CONTRA MULHER.</t>
  </si>
  <si>
    <t>452/001 - DEFESA CIVIL</t>
  </si>
  <si>
    <t>MELHORIA, MODERNIZAÇÃO E INOVAÇÃO DOS SERVIÇOS DA DEFESA CIVIL-CEPDEC</t>
  </si>
  <si>
    <t>06 – Segurança Pública</t>
  </si>
  <si>
    <t>609/001 - CBMAC</t>
  </si>
  <si>
    <t>MELHORIA, MODERNIZAÇÃO E INOVAÇÃO DOS SERVIÇOS DO CBMAC.</t>
  </si>
  <si>
    <t>CONSTRUÇÃO, REFORMA E AMPLIAÇÃO DOS PRÉDIOS DO CBMAC.</t>
  </si>
  <si>
    <t>609/632 - CBMAC (Fundo Esp. do Corpo de Bombeiros Militar do Estado do Acre - FUNESBOM)</t>
  </si>
  <si>
    <t>MANUTENÇÃO DAS ATIVIDADES ADMINISTRATIVAS E OPERACIONAIS-FUNESBOM.</t>
  </si>
  <si>
    <t>451/001 - PCAC</t>
  </si>
  <si>
    <t>CONSTRUÇÃO, REFORMA E AMPLIAÇÃO DAS UNIDADES DA PCAC.</t>
  </si>
  <si>
    <t>719/209 - IAPEN</t>
  </si>
  <si>
    <t>CONSTRUÇÃO, REFORMA E AMPLIAÇÃO DE PRÉDIOS DO SISTEMA PRISIONAL.</t>
  </si>
  <si>
    <t>CONSTRUÇÃO, REFORMA E AMPLIAÇÃO DOS PRÉDIOS DA SEJUSP.</t>
  </si>
  <si>
    <t>719/626 - SEJUSP (Fundo Penitenciário do Estado do Acre)</t>
  </si>
  <si>
    <t>POLICIAMENTO COMUNITÁRIO INTEGRADO EM ÁREAS E PARQUES URBANOS.</t>
  </si>
  <si>
    <t>MELHORIA, MODERNIZAÇÃO E INOVAÇÃO DOS SERVIÇOS INTEGRADOS DE SEGURANÇA PÚBLICA</t>
  </si>
  <si>
    <t>608/001 - PMAC</t>
  </si>
  <si>
    <t>FORTALECIMENTO DA POLÍCIA MILITAR.</t>
  </si>
  <si>
    <t>MANUTENÇÃO DAS ATIVIDADES ADMINISTRATIVAS E OPERACIONAIS DA PMAC.</t>
  </si>
  <si>
    <t>RESSOCIALIZAÇÃO DAS PESSOAS PRIVADAS DE LIBERDADE, SOB CUSTÓDIA DO SISTEMA PRISIONAL.</t>
  </si>
  <si>
    <t>08 - Assistência Social</t>
  </si>
  <si>
    <t>760/001 - SEASDH</t>
  </si>
  <si>
    <t>MANUTENÇÃO DAS ATIVIDADES ADMINISTRATIVAS E OPERACIONAIS-SEASDH.</t>
  </si>
  <si>
    <t>CONSTRUÇÃO, REFORMA E AMPLIAÇÃO DOS PRÉDIOS DA SEASDH.</t>
  </si>
  <si>
    <t>09 - Previdência Social</t>
  </si>
  <si>
    <t>714/211 - ACREPREVIDÊNCIA</t>
  </si>
  <si>
    <t>MANUTENÇÃO DA ATIVIDADES ADMINISTRATIVAS E OPERACIONAIS DO ACREPREVIDÊNCIA.</t>
  </si>
  <si>
    <t>CONSTRUÇÃO, REFORMA E AMPLIAÇÃO DOS PRÉDIOS DO ACREPREVIDÊNCIA.</t>
  </si>
  <si>
    <t xml:space="preserve">10 – Saúde </t>
  </si>
  <si>
    <t>721/607 - SESACRE (Fundo Estadual de Saúde - FUNDES)</t>
  </si>
  <si>
    <t>CONSTRUÇÃO, REFORMA E AMPLIAÇÃO DOS PRÉDIOS DA SESACRE.</t>
  </si>
  <si>
    <t>MELHORIA, MODERNIZAÇÃO E INOVAÇÃO DOS SERVIÇOS DA REDE PÚBLICA DE SAÚDE.</t>
  </si>
  <si>
    <t>11 - Trabalho</t>
  </si>
  <si>
    <t>759/001 - SETE</t>
  </si>
  <si>
    <t>PROMOÇÃO E DESENVOLVIMENTO DO TURISMO SUSTENTÁVEL EM SEUS DIVERSOS SEGMENTOS.</t>
  </si>
  <si>
    <t>PROMOÇÃO DO ETNOTURISMO.</t>
  </si>
  <si>
    <t>12 - Educação</t>
  </si>
  <si>
    <t>717/001 - SEE</t>
  </si>
  <si>
    <t>MANUTENÇÃO DAS ATIVIDADES ADMINISTRATIVAS E OPERACIONAIS-SEE.</t>
  </si>
  <si>
    <t>CONSTRUÇÃO, REFORMA E AMPLIAÇÃO DOS PRÉDIOS DA EDUCAÇÃO-SEE.</t>
  </si>
  <si>
    <t>MELHORIA, MODERNIZAÇÃO E INOVAÇÃO DA REDE ESTADUAL DE ENSINO.</t>
  </si>
  <si>
    <t>717/212 - IEPTEC</t>
  </si>
  <si>
    <t>MANUTENÇÃO DAS ATIVIDADES ADMINISTRATIVAS E OPERACIONAIS-IEPTEC.</t>
  </si>
  <si>
    <t>AMPLIAÇÃO DA REDE DE QUALIFICAÇÃO PROFISSIONAL E TECNOLÓGICA DO ESTADO DO ACRE.</t>
  </si>
  <si>
    <t>CONSTRUÇÃO, REFORMA E AMPLIAÇÃO DOS PRÉDIOS DO IEPTEC.</t>
  </si>
  <si>
    <t>13 - Cultura</t>
  </si>
  <si>
    <t>717/303 - FEM</t>
  </si>
  <si>
    <t>CONSTRUÇÃO, REFORMA E AMPLIAÇÃO DOS PRÉDIOS DA FEM.</t>
  </si>
  <si>
    <t>717/628 - FEM (Fundo Estadual de Cultura 
- Funcultura)</t>
  </si>
  <si>
    <t>FOMENTO A CULTURA: LEI ALDIR BLANC.</t>
  </si>
  <si>
    <t>PROMOÇÃO DE ATIVIDADES CULTURAIS TRADICIONAIS.</t>
  </si>
  <si>
    <t>14 - Diretos da Cidadania</t>
  </si>
  <si>
    <t>719/213 - ISE</t>
  </si>
  <si>
    <t>CONSTRUÇÃO, REFORMA E AMPLIAÇÃO DOS PRÉDIOS DO ISE.</t>
  </si>
  <si>
    <t>760/640 - SEASDH (Fundo Est. Def. Consumidor  - DEFC)</t>
  </si>
  <si>
    <t>CONSTRUÇÃO, REFORMA E AMPLIAÇÃO DOS PRÉDIOS PÚBLICOS ESTADUAIS-FEDC.</t>
  </si>
  <si>
    <t>762/001 - SEMULHER</t>
  </si>
  <si>
    <t>FORTALECIMENTO DO ENFRENTAMENTO À VIOLÊNCIA CONTRA MULHERES.</t>
  </si>
  <si>
    <t xml:space="preserve">15 – Urbanismo </t>
  </si>
  <si>
    <t>744/001 - SEHURB</t>
  </si>
  <si>
    <t>IMPLANTAÇÃO E URBANIZAÇÃO DE PARQUES.</t>
  </si>
  <si>
    <t>PRESERVAÇÃO DAS ENCOSTAS DE RIOS E IGARAPÉS.</t>
  </si>
  <si>
    <t>IMPLANTAÇÃO E MELHORIA DE VIAS DE ACESSO PARA O TRANSPORTE.</t>
  </si>
  <si>
    <t>CONSTRUÇÃO, REFORMA E AMPLIAÇÃO DE PRÉDIOS DO PODER EXECUTIVO.</t>
  </si>
  <si>
    <t>MANUTENÇÃO DE PRÉDIOS E ESPAÇOS PÚBLICOS.</t>
  </si>
  <si>
    <t>ESTUDOS, AVALIAÇÕES E ELABORAÇÕES DE PROJETOS.</t>
  </si>
  <si>
    <t>URBANIZAÇÃO DE ORLAS DO ACRE.</t>
  </si>
  <si>
    <t>744/643 - SEHURB (Fundo Est. Esp. Recup. Bacia Igarapé S. Francisco)</t>
  </si>
  <si>
    <t>754/001 - SEOP</t>
  </si>
  <si>
    <t>MELHORIA E AMPLIAÇÃO DOS ESPAÇOS/EQUIPAMENTOS PÚBLICOS DE USO COLETIVO PARA A POPULAÇÃO ACREANA.</t>
  </si>
  <si>
    <t>IMPLANTAÇÃO DE INFRAESTRUTURA DE MOBILIDADE URBANA.</t>
  </si>
  <si>
    <t>CONSTRUÇÃO E REFORMA DE PRÉDIOS PÚBLICOS DO PODER EXECUTIVO</t>
  </si>
  <si>
    <t>PLANO DE ESTÍMULO A CONSTRUÇÃO CIVIL PARA GERAÇÃO DE EMPREGO E RENDA.</t>
  </si>
  <si>
    <t>IMPLANTAÇÃO, MANUTENÇÃO E RESTAURAÇÃO DE VIAS RURAIS E URBANAS.</t>
  </si>
  <si>
    <t>IMPLANTAÇÃO DO SISTEMA DE COLETA E TR ATAMENTO DE ESGOTOS SANITÁRIOS.</t>
  </si>
  <si>
    <t>16 – Habitação</t>
  </si>
  <si>
    <t>744/619 - SEHURB (Fundo Est. Habitação - FEH)</t>
  </si>
  <si>
    <t>MANUTENÇÃO DAS ATIVIDADES ADMINISTRATIVAS E OPERACIONAIS-FEH.</t>
  </si>
  <si>
    <t xml:space="preserve">715/501 - COHAB </t>
  </si>
  <si>
    <t>AMPLIAÇÃO DO ACESSO À MORADIA DIGNA.</t>
  </si>
  <si>
    <t xml:space="preserve">17 – Saneamento </t>
  </si>
  <si>
    <t>IMPLANTAÇÃO DE SISTEMAS DE ABASTECIMENTO DE ÁGUA.</t>
  </si>
  <si>
    <t>AMPLIAÇÃO DO SISTEMA DE COLETA E TRATAMENTO DE ESGOTOS SANITÁRIOS.</t>
  </si>
  <si>
    <t>SANEAMENTO INTEGRADO.</t>
  </si>
  <si>
    <t>AMPLIAÇÃO E MELHORIA DOS SISTEMAS DE ABASTECIMENTO DE ÁGUA NOS MUNICÍPIOS DO ACRE.</t>
  </si>
  <si>
    <t>AMPLIAÇÃO E MELHORIA DOS SISTEMAS DE COLETA E TRATAMENTO DE ESGOTAMENTO SANITÁRIO NOS MUNICÍPIOS DO ACRE.</t>
  </si>
  <si>
    <t>PROMOÇÃO DA REGULAÇÃO DO SANEAMENTO BÁSICO.</t>
  </si>
  <si>
    <t>CONSTRUÇÃO, REFORMA E AMPLIAÇÃO DOS PRÉDIOS DO IMAC.</t>
  </si>
  <si>
    <t>19 - Ciência e Tecnologia</t>
  </si>
  <si>
    <t>761/301 - FUNTAC</t>
  </si>
  <si>
    <t>MELHORIA, MODERNIZAÇÃO E INOVAÇÃO DOS SERVIÇOS DA FUNTAC.</t>
  </si>
  <si>
    <t>CONSTRUÇÃO, REFORMA E AMPLIAÇÃO DOS PRÉDIOS DA SEAGRI.</t>
  </si>
  <si>
    <t>753/207 - IDAF</t>
  </si>
  <si>
    <t>CONSTRUÇÃO, REFORMA E AMPLIAÇÃO DOS PRÉDIOS DO IDAF.</t>
  </si>
  <si>
    <t xml:space="preserve">21 - Organização Agrária </t>
  </si>
  <si>
    <t>REGULARIZAÇÃO FUNDIÁRIA ESTADUAL URBANA.</t>
  </si>
  <si>
    <t>26 - Transportes</t>
  </si>
  <si>
    <t>MANUTENÇÃO DAS ATIVIDADES ADMINISTRATIVAS E OPERACIONAIS-DERACRE.</t>
  </si>
  <si>
    <t>CONSTRUÇÃO, REFORMA E AMPLIAÇÃO DAS UNIDADES DO DERACRE.</t>
  </si>
  <si>
    <t>CONSTRUÇÃO, RECUPERAÇÃO, AMPLIAÇÃO E MELHORIAS DOS AERODROMOS E AEROPORTOS.</t>
  </si>
  <si>
    <t>MELHORIA, MODERNIZAÇÃO E INOVAÇÃO DOS SERVIÇOS DO DERACRE.</t>
  </si>
  <si>
    <t>OBRAS DE ARTE ESPECIAIS-CONSTRUÇÃO, RECUPERAÇÃO DE PONTES, PASSARELAS.</t>
  </si>
  <si>
    <t>IMPLANTAÇÃO, AMPLIAÇÃO, MANUTENÇÃO E RESTAURAÇÃO DE VIAS URBANAS E EXECUÇÃO DE OBRAS DE ARTES CORRENTES.</t>
  </si>
  <si>
    <t>CONSTRUÇÃO, AMPLIAÇÃO, PAVIMENTAÇÃO E MANUTENÇÃO DAS RODOVIAS ESTADUAIS-AC'S E EXECUÇÃO DE OBRAS DE ARTES CORRENTES.</t>
  </si>
  <si>
    <t>RESTAURAÇÃO DE VIAS, ESPAÇOS E PARQUES PÚBLICOS DENTRO DO ESTADO DO ACRE.</t>
  </si>
  <si>
    <t>CONSTRUÇÃO E MANUTENÇÃO DE PORTOS E HIDROVIAS (RAMPAS E ESCADARIAS).</t>
  </si>
  <si>
    <t>27 - Desporto e Lazer</t>
  </si>
  <si>
    <t>718/001 - SEEL</t>
  </si>
  <si>
    <t>CONSTRUÇÃO, REFORMA E AMPLIAÇÃO/SEEL.</t>
  </si>
  <si>
    <t>Eixo IV – Justiça Climática e Inclusão Social</t>
  </si>
  <si>
    <t xml:space="preserve">08 – Assistência Social </t>
  </si>
  <si>
    <t>APOIO AS ORGANIZAÇÕES DA SOCIEDADE CIVIL(OSCS).</t>
  </si>
  <si>
    <t>JUNTOS PELO ACRE:CUIDANDO DE PESSOAS.</t>
  </si>
  <si>
    <t>PROMOÇÃO DAS AÇÕES DE SAÚDE E DE SEGURANÇA NO TRABALHO PARA OS SERVIDORES DA SEASDH.</t>
  </si>
  <si>
    <t>FORTALECIMENTO DAS AÇÕES DE PROTEÇÃO SOCIAL AOS POVOS INDÍGENAS.</t>
  </si>
  <si>
    <t>760/608 - SEASDH (Fundo de Assistência Social - FEAS)</t>
  </si>
  <si>
    <t>CONCESSÃO DO BOLSA MORADIA TRANSITÓRIA.</t>
  </si>
  <si>
    <t xml:space="preserve">14 – Direitos da Cidadania </t>
  </si>
  <si>
    <t>PROMOÇÃO DOS DIREITOS HUMANOS E DIVERSIDADE.</t>
  </si>
  <si>
    <t>PROMOÇÃO DA POLÍTICA ESTADUAL DE CIDADANIA E DIREITOS HUMANOS.</t>
  </si>
  <si>
    <t xml:space="preserve">719/216 - PROCON </t>
  </si>
  <si>
    <t>PROMOÇÃO DE AÇÕES DE FISCALIZAÇÃO-ROTA DA QUALIDADE.</t>
  </si>
  <si>
    <t>AMPLIAÇÃO DAS AÇÕES EDUCATIVAS-PROCON EDUCA.</t>
  </si>
  <si>
    <t>AMPLIAÇÃO DO ATENDIMENTO AOS CONSUMIDORES E FORNECEDORES-PROCON ATENDE.</t>
  </si>
  <si>
    <t>PROMOÇÃO DO ATENDIMENTO AOS CONSUMIDORES SUPERENDIVIDADOS.</t>
  </si>
  <si>
    <t>MANUTENÇÃO DAS ATIVIDADES ADMINISTRATIVAS E OPERACIONAIS DO INSTITUTO PROCON/AC.</t>
  </si>
  <si>
    <t>760/640 - SEADH (Fundo Estadual de Defesa do Consumidor - FEDC)</t>
  </si>
  <si>
    <t>CONSOLIDAÇÃO DAS POLÍTICAS PARA MULHERES.</t>
  </si>
  <si>
    <t>FORTALECIMENTO DAS POLÍTICAS PÚBLICAS PARA OS POVOS INDÍGENAS DO ESTADO DO ACRE.</t>
  </si>
  <si>
    <t>VALORIZAÇÃO DA CULTURA E DOS CONHECIMENTOS TRADICIONAIS INDÍGENAS.</t>
  </si>
  <si>
    <t xml:space="preserve">744/206 - ITERACRE </t>
  </si>
  <si>
    <t>REGULARIZAÇÃO FUNDIÁRIA ESTADUAL RURAL.</t>
  </si>
  <si>
    <t>REGULARIZAÇÃO FUNDIÁRIA ESTADUAL NAS INSTITUIÇÕES RELIGIOSAS DO ESTADO DO ACRE-IGREJA LEGAL.</t>
  </si>
  <si>
    <t>MELHORIA, MODERNIZAÇÃO E INOVAÇÃO DOS SERVIÇOS DO ITERACRE.</t>
  </si>
  <si>
    <t>MANUTENÇÃO DAS ATIVIDADES ADMINISTRATIVAS E OPERACIONAIS DO ITERACRE.</t>
  </si>
  <si>
    <t>Eixo V – Governança Ambiental e Transparência</t>
  </si>
  <si>
    <t xml:space="preserve">04 – Administração </t>
  </si>
  <si>
    <t>448/001 - CGE</t>
  </si>
  <si>
    <t>IMPLEMENTAÇÃO DE POLÍTICAS DE TRANSPARÊNCIA PÚBLICA, OUVIDORIA, INTEGRIDADE E CONTROLE NA ADMINISTRAÇÃO PÚBLICA.</t>
  </si>
  <si>
    <t>FORTALECIMENTO DA GOVERNANÇA DO SISTEMA ESTADUAL DE INCENTIVOS A SERVIÇOS AMBIENTAIS DO ACRE (SISA).</t>
  </si>
  <si>
    <t>Eixo VI – Educação Ambiental e Inovação Climática</t>
  </si>
  <si>
    <t>19 – Ciência e Tecnologia</t>
  </si>
  <si>
    <t>761/309 - FAPAC</t>
  </si>
  <si>
    <t>APOIO A GERAÇÃO E DIFUSÃO DE CONHECIMENTO POR MEIO DA PESQUISA CIENTÍFICA E TECNOLÓGICA.</t>
  </si>
  <si>
    <t>FAPAC TESOURO ESTADUAL AMAZÔNIA +10.</t>
  </si>
  <si>
    <t>CNPQ-RECURSOS PRÓPRIOS AMAZONIA +10.</t>
  </si>
  <si>
    <t>AMPLIAÇÃO DE EMPREENDIMENTOS INOVADORES NO ESTADO DO ACRE.</t>
  </si>
  <si>
    <t xml:space="preserve">19 – Ciência e Tecnologia </t>
  </si>
  <si>
    <t>FORTALECIMENTO DO ECOSSISTEMA DE INOVAÇÃO.</t>
  </si>
  <si>
    <t>IMPLEMENTAÇÃO DA INFRAESTRUTURA PARA APOIO À TECNOLOGIA E INOVAÇÃO.</t>
  </si>
  <si>
    <t>FOMENTO A CIÊNCIA E INOVAÇÃO NO ESTADO DO ACRE.</t>
  </si>
  <si>
    <t>DIFUSÃO E TRANSFERÊNCIA TECNOLÓGICA.</t>
  </si>
  <si>
    <t>Eixo VII – Resposta Climática Emergencial e Proteção Civil</t>
  </si>
  <si>
    <t>PROMOÇÃO DE AÇÕES SOCIAIS E COMUNITÁRIAS DO CORPO DE BOMBEIROS.</t>
  </si>
  <si>
    <t>FORTALECIMENTO DAS AÇÕES PARA PROTEÇÃO DA VIDA, DO MEIO AMBIENTE E DO PATRIMÔNIO.</t>
  </si>
  <si>
    <t>PROMOÇÃO DAS AÇÕES DE PREVENÇÃO E DE RESPOSTAS AOS DESASTRES NATURAIS E TECNOLÓGICOS.</t>
  </si>
  <si>
    <t>OFERTA DE BENEFÍCIOS EVENTUAIS EM SITUAÇÃO DE EMERGÊNCIAS/CALAMIDADE PÚBLICA.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</si>
</sst>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&quot;$&quot;#,##0.00"/>
  </numFmts>
  <fonts count="10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sz val="11.0"/>
      <color theme="1"/>
      <name val="Geist"/>
    </font>
    <font>
      <sz val="11.0"/>
      <color theme="1"/>
      <name val="Times New Roman"/>
    </font>
    <font>
      <sz val="12.0"/>
      <color theme="1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Geist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right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1" fillId="2" fontId="5" numFmtId="164" xfId="0" applyAlignment="1" applyBorder="1" applyFont="1" applyNumberFormat="1">
      <alignment horizontal="right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0" fillId="2" fontId="6" numFmtId="0" xfId="0" applyAlignment="1" applyFont="1">
      <alignment horizontal="center" readingOrder="0" shrinkToFit="0" vertical="center" wrapText="0"/>
    </xf>
    <xf borderId="1" fillId="2" fontId="5" numFmtId="164" xfId="0" applyAlignment="1" applyBorder="1" applyFont="1" applyNumberFormat="1">
      <alignment horizontal="right" readingOrder="0" shrinkToFit="0" vertical="center" wrapText="0"/>
    </xf>
    <xf borderId="0" fillId="2" fontId="5" numFmtId="164" xfId="0" applyAlignment="1" applyFont="1" applyNumberFormat="1">
      <alignment horizontal="right" readingOrder="0" shrinkToFit="0" vertical="center" wrapText="0"/>
    </xf>
    <xf borderId="1" fillId="0" fontId="7" numFmtId="0" xfId="0" applyAlignment="1" applyBorder="1" applyFont="1">
      <alignment horizontal="center"/>
    </xf>
    <xf borderId="1" fillId="0" fontId="8" numFmtId="0" xfId="0" applyBorder="1" applyFont="1"/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5" numFmtId="164" xfId="0" applyAlignment="1" applyBorder="1" applyFont="1" applyNumberFormat="1">
      <alignment horizontal="right" readingOrder="0"/>
    </xf>
    <xf borderId="1" fillId="2" fontId="7" numFmtId="0" xfId="0" applyAlignment="1" applyBorder="1" applyFont="1">
      <alignment horizontal="center" readingOrder="0"/>
    </xf>
    <xf borderId="0" fillId="2" fontId="9" numFmtId="0" xfId="0" applyAlignment="1" applyFont="1">
      <alignment horizontal="center" readingOrder="0"/>
    </xf>
    <xf borderId="1" fillId="0" fontId="3" numFmtId="0" xfId="0" applyAlignment="1" applyBorder="1" applyFont="1">
      <alignment readingOrder="0" vertical="center"/>
    </xf>
    <xf borderId="0" fillId="2" fontId="6" numFmtId="0" xfId="0" applyAlignment="1" applyFont="1">
      <alignment horizontal="center" readingOrder="0" shrinkToFit="0" wrapText="0"/>
    </xf>
    <xf borderId="1" fillId="2" fontId="5" numFmtId="164" xfId="0" applyAlignment="1" applyBorder="1" applyFont="1" applyNumberFormat="1">
      <alignment readingOrder="0"/>
    </xf>
    <xf borderId="1" fillId="2" fontId="5" numFmtId="164" xfId="0" applyAlignment="1" applyBorder="1" applyFont="1" applyNumberFormat="1">
      <alignment horizontal="right"/>
    </xf>
    <xf borderId="1" fillId="0" fontId="3" numFmtId="0" xfId="0" applyAlignment="1" applyBorder="1" applyFont="1">
      <alignment readingOrder="0"/>
    </xf>
    <xf borderId="1" fillId="2" fontId="2" numFmtId="164" xfId="0" applyAlignment="1" applyBorder="1" applyFont="1" applyNumberFormat="1">
      <alignment horizontal="right" readingOrder="0"/>
    </xf>
    <xf borderId="1" fillId="3" fontId="2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1" fillId="4" fontId="2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readingOrder="0" shrinkToFit="0" wrapText="1"/>
    </xf>
    <xf borderId="1" fillId="3" fontId="5" numFmtId="164" xfId="0" applyAlignment="1" applyBorder="1" applyFont="1" applyNumberFormat="1">
      <alignment horizontal="right"/>
    </xf>
    <xf borderId="1" fillId="3" fontId="7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shrinkToFit="0" wrapText="1"/>
    </xf>
    <xf borderId="1" fillId="4" fontId="5" numFmtId="164" xfId="0" applyAlignment="1" applyBorder="1" applyFont="1" applyNumberFormat="1">
      <alignment horizontal="right" readingOrder="0"/>
    </xf>
    <xf borderId="1" fillId="4" fontId="5" numFmtId="164" xfId="0" applyAlignment="1" applyBorder="1" applyFont="1" applyNumberFormat="1">
      <alignment horizontal="right"/>
    </xf>
    <xf borderId="1" fillId="3" fontId="5" numFmtId="164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readingOrder="0" shrinkToFit="0" wrapText="1"/>
    </xf>
    <xf borderId="1" fillId="0" fontId="7" numFmtId="165" xfId="0" applyAlignment="1" applyBorder="1" applyFont="1" applyNumberFormat="1">
      <alignment horizontal="center" readingOrder="0"/>
    </xf>
    <xf borderId="1" fillId="0" fontId="3" numFmtId="0" xfId="0" applyBorder="1" applyFont="1"/>
    <xf borderId="1" fillId="2" fontId="8" numFmtId="0" xfId="0" applyAlignment="1" applyBorder="1" applyFont="1">
      <alignment readingOrder="0"/>
    </xf>
    <xf borderId="1" fillId="2" fontId="7" numFmtId="0" xfId="0" applyAlignment="1" applyBorder="1" applyFont="1">
      <alignment readingOrder="0" vertical="center"/>
    </xf>
    <xf borderId="1" fillId="5" fontId="3" numFmtId="0" xfId="0" applyAlignment="1" applyBorder="1" applyFill="1" applyFont="1">
      <alignment readingOrder="0" vertic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7f02e35a-7017-4008-a94e-1ebb9b3b14da}">
    <Anchor>
      <Comment id="{3db4590b-99b0-46f9-8e5c-535b09fd0c09}"/>
    </Anchor>
    <History>
      <Event time="2026-06-05T13:55:13.00" id="{33258cc1-57c5-427e-b0cf-7728908c8532}">
        <Attribution userId="placeholder@email.com" userName="Roseneide Sena" userProvider="google-sheets"/>
        <Anchor>
          <Comment id="{3db4590b-99b0-46f9-8e5c-535b09fd0c09}"/>
        </Anchor>
        <Create/>
      </Event>
      <Event time="2026-06-05T13:55:13.00" id="{6e82845f-603e-460e-b6f7-d006793ace38}">
        <Attribution userId="placeholder@email.com" userName="Roseneide Sena" userProvider="google-sheets"/>
        <Anchor>
          <Comment id="{3db4590b-99b0-46f9-8e5c-535b09fd0c09}"/>
        </Anchor>
        <Assign userId="luisalnr@gmail.com" userName="luisalnr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uisalnr@gmail.com" id="{04d0802d-6b46-4da0-9c28-31ea27299ecf}" userId="luisalnr@gmail.com" providerId="google-sheets"/>
  <x18tc:person displayName="Roseneide Sena" id="{18a4e096-09dc-487e-94e2-bb4f2bc6690b}" providerId="google-sheets"/>
  <x18tc:person displayName="Vinícius_Oikonomia" id="{4b7fa688-6db5-404c-a3ea-4ec0609ed5c5}" providerId="google-sheets"/>
  <x18tc:person displayName="rsena.acre@gmail.com" id="{a4db4c2b-c5e8-4071-a7cd-2df124f7c271}" userId="rsena.acre@gmail.com" providerId="google-sheets"/>
  <x18tc:person displayName="Luísa Ribeiro" id="{85e82f82-b122-4a5e-827e-e13eb07226b3}" providerId="google-sheets"/>
</x18tc:personList>
</file>

<file path=xl/tables/table1.xml><?xml version="1.0" encoding="utf-8"?>
<table xmlns="http://schemas.openxmlformats.org/spreadsheetml/2006/main" ref="A1:H31" displayName="Table1" name="Table1" id="1">
  <tableColumns count="8">
    <tableColumn name="Eixo" id="1"/>
    <tableColumn name="Função" id="2"/>
    <tableColumn name="Subfunção" id="3"/>
    <tableColumn name="Órgão" id="4"/>
    <tableColumn name="Dotação" id="5"/>
    <tableColumn name="Código - Projeto/Atividade" id="6"/>
    <tableColumn name="Aplicação Programada" id="7"/>
    <tableColumn name="Classificação do Gasto" id="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33:G33" displayName="Tabela_2" name="Tabela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72:H72" displayName="Tabela_3" name="Tabela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67:G167" displayName="Tabela_4" name="Tabela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92:H192" displayName="Tabela_5" name="Tabela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97:H197" displayName="Tabela_6" name="Tabela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210:H210" displayName="Tabela_7" name="Tabela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73" dT="2026-06-08T13:15:23.00" personId="{4b7fa688-6db5-404c-a3ea-4ec0609ed5c5}" id="{bbd46d50-5793-4f27-acbb-bf2b066df97a}" done="0">
    <x18tc:text xml:space="preserve">No QDD, consta valor inicial de R$2000, consideramos R$1000 ou R$2000 @rsena.acre@gmail.com</x18tc:text>
    <x18tc:mentions>
      <x18tc:mention mentionpersonId="{a4db4c2b-c5e8-4071-a7cd-2df124f7c271}" mentionId="{8984a4e6-8f3e-49d5-b058-f4b3f322d5a6}" startIndex="70" length="21"/>
    </x18tc:mentions>
  </x18tc:threadedComment>
  <x18tc:threadedComment ref="E73" dT="2026-06-08T13:38:54.00" personId="{18a4e096-09dc-487e-94e2-bb4f2bc6690b}" id="{f4b5fff5-84a7-450b-b5b5-21ec6fe520f4}" parentId="{bbd46d50-5793-4f27-acbb-bf2b066df97a}">
    <x18tc:text xml:space="preserve">Apenas o valor relativo à obra = R$ 1.000,00</x18tc:text>
  </x18tc:threadedComment>
  <x18tc:threadedComment ref="E68" dT="2026-06-03T21:29:16.00" personId="{18a4e096-09dc-487e-94e2-bb4f2bc6690b}" id="{8244c2f2-4132-4074-9ca2-389a2fe912cd}" done="1">
    <x18tc:text xml:space="preserve">Verificar esse valor, pelo QDD esse Projeto/Atividade só computa R$ 47.042.981,28 @luisalnr@gmail.com</x18tc:text>
    <x18tc:mentions>
      <x18tc:mention mentionpersonId="{04d0802d-6b46-4da0-9c28-31ea27299ecf}" mentionId="{29d4e9f1-e002-40bc-a4e0-b0e90847866a}" startIndex="82" length="19"/>
    </x18tc:mentions>
  </x18tc:threadedComment>
  <x18tc:threadedComment ref="E68" dT="2026-06-08T12:59:46.00" personId="{85e82f82-b122-4a5e-827e-e13eb07226b3}" id="{e341b169-42c0-476c-bcb0-2345d3c7983a}" parentId="{8244c2f2-4132-4074-9ca2-389a2fe912cd}">
    <x18tc:text xml:space="preserve">De acordo com o SICAF, é este valor mesmo de R$ 97.285.647,31</x18tc:text>
  </x18tc:threadedComment>
  <x18tc:threadedComment ref="A73" dT="2026-06-05T13:55:13.00" personId="{18a4e096-09dc-487e-94e2-bb4f2bc6690b}" id="{3db4590b-99b0-46f9-8e5c-535b09fd0c09}" done="1">
    <x18tc:text xml:space="preserve">Não apareceram os seguintes órgãos: TCE, TJAC, DPE, MPAC (estão listados na planilha anterior, mas não estão nesta) @luisalnr@gmail.com
Assigned to luisalnr@gmail.com</x18tc:text>
    <x18tc:mentions>
      <x18tc:mention mentionpersonId="{04d0802d-6b46-4da0-9c28-31ea27299ecf}" mentionId="{f8e03a6e-ccfb-401d-8bf0-1a9122dca0e4}" startIndex="116" length="19"/>
    </x18tc:mentions>
  </x18tc:threadedComment>
  <x18tc:threadedComment ref="A1" dT="2026-06-03T18:33:29.00" personId="{18a4e096-09dc-487e-94e2-bb4f2bc6690b}" id="{8ba3ea41-de65-44d7-bcaf-e66d12b358bb}" done="1">
    <x18tc:text xml:space="preserve">@luisalnr@gmail.com manter apenas no Eixo VI - linha 163 da planilha</x18tc:text>
    <x18tc:mentions>
      <x18tc:mention mentionpersonId="{04d0802d-6b46-4da0-9c28-31ea27299ecf}" mentionId="{a71f5bba-37ab-4118-abfb-9c82b953353b}" startIndex="0" length="1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3" Type="http://schemas.openxmlformats.org/officeDocument/2006/relationships/table" Target="../tables/table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5" Type="http://schemas.openxmlformats.org/officeDocument/2006/relationships/vmlDrawing" Target="../drawings/vmlDrawing1.v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9.0"/>
    <col customWidth="1" min="3" max="3" width="15.75"/>
    <col customWidth="1" min="4" max="4" width="42.13"/>
    <col customWidth="1" min="5" max="5" width="25.75"/>
    <col customWidth="1" min="6" max="6" width="28.5"/>
    <col customWidth="1" min="7" max="7" width="99.88"/>
    <col customWidth="1" min="8" max="8" width="22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</row>
    <row r="2" ht="22.5" customHeight="1">
      <c r="A2" s="5" t="s">
        <v>8</v>
      </c>
      <c r="B2" s="5" t="s">
        <v>9</v>
      </c>
      <c r="C2" s="6">
        <v>541.0</v>
      </c>
      <c r="D2" s="7" t="s">
        <v>10</v>
      </c>
      <c r="E2" s="8">
        <v>5000000.0</v>
      </c>
      <c r="F2" s="9">
        <v>2.229E7</v>
      </c>
      <c r="G2" s="9" t="s">
        <v>11</v>
      </c>
      <c r="H2" s="10" t="s">
        <v>12</v>
      </c>
    </row>
    <row r="3" ht="22.5" customHeight="1">
      <c r="A3" s="5" t="s">
        <v>8</v>
      </c>
      <c r="B3" s="5" t="s">
        <v>9</v>
      </c>
      <c r="C3" s="6">
        <v>541.0</v>
      </c>
      <c r="D3" s="7" t="s">
        <v>13</v>
      </c>
      <c r="E3" s="8">
        <v>784910.8</v>
      </c>
      <c r="F3" s="9">
        <v>1.154E7</v>
      </c>
      <c r="G3" s="9" t="s">
        <v>14</v>
      </c>
      <c r="H3" s="10" t="s">
        <v>12</v>
      </c>
    </row>
    <row r="4" ht="22.5" customHeight="1">
      <c r="A4" s="5" t="s">
        <v>8</v>
      </c>
      <c r="B4" s="5" t="s">
        <v>9</v>
      </c>
      <c r="C4" s="6">
        <v>541.0</v>
      </c>
      <c r="D4" s="7" t="s">
        <v>13</v>
      </c>
      <c r="E4" s="8">
        <v>20000.0</v>
      </c>
      <c r="F4" s="9">
        <v>1.155E7</v>
      </c>
      <c r="G4" s="9" t="s">
        <v>15</v>
      </c>
      <c r="H4" s="10" t="s">
        <v>12</v>
      </c>
    </row>
    <row r="5" ht="22.5" customHeight="1">
      <c r="A5" s="5" t="s">
        <v>8</v>
      </c>
      <c r="B5" s="5" t="s">
        <v>9</v>
      </c>
      <c r="C5" s="6">
        <v>541.0</v>
      </c>
      <c r="D5" s="7" t="s">
        <v>16</v>
      </c>
      <c r="E5" s="8">
        <v>247000.0</v>
      </c>
      <c r="F5" s="9">
        <v>1.12E7</v>
      </c>
      <c r="G5" s="9" t="s">
        <v>17</v>
      </c>
      <c r="H5" s="10" t="s">
        <v>12</v>
      </c>
    </row>
    <row r="6" ht="22.5" customHeight="1">
      <c r="A6" s="5" t="s">
        <v>8</v>
      </c>
      <c r="B6" s="5" t="s">
        <v>9</v>
      </c>
      <c r="C6" s="6">
        <v>541.0</v>
      </c>
      <c r="D6" s="7" t="s">
        <v>16</v>
      </c>
      <c r="E6" s="8">
        <v>53000.0</v>
      </c>
      <c r="F6" s="9">
        <v>1.121E7</v>
      </c>
      <c r="G6" s="9" t="s">
        <v>18</v>
      </c>
      <c r="H6" s="10" t="s">
        <v>12</v>
      </c>
    </row>
    <row r="7" ht="22.5" customHeight="1">
      <c r="A7" s="5" t="s">
        <v>8</v>
      </c>
      <c r="B7" s="5" t="s">
        <v>9</v>
      </c>
      <c r="C7" s="6">
        <v>541.0</v>
      </c>
      <c r="D7" s="7" t="s">
        <v>16</v>
      </c>
      <c r="E7" s="8">
        <v>99000.0</v>
      </c>
      <c r="F7" s="9">
        <v>1.123E7</v>
      </c>
      <c r="G7" s="9" t="s">
        <v>19</v>
      </c>
      <c r="H7" s="10" t="s">
        <v>12</v>
      </c>
    </row>
    <row r="8" ht="22.5" customHeight="1">
      <c r="A8" s="5" t="s">
        <v>8</v>
      </c>
      <c r="B8" s="5" t="s">
        <v>9</v>
      </c>
      <c r="C8" s="6">
        <v>541.0</v>
      </c>
      <c r="D8" s="7" t="s">
        <v>16</v>
      </c>
      <c r="E8" s="8">
        <v>3501000.0</v>
      </c>
      <c r="F8" s="9">
        <v>1.124E7</v>
      </c>
      <c r="G8" s="9" t="s">
        <v>20</v>
      </c>
      <c r="H8" s="10" t="s">
        <v>12</v>
      </c>
    </row>
    <row r="9" ht="22.5" customHeight="1">
      <c r="A9" s="5" t="s">
        <v>8</v>
      </c>
      <c r="B9" s="5" t="s">
        <v>9</v>
      </c>
      <c r="C9" s="6">
        <v>541.0</v>
      </c>
      <c r="D9" s="7" t="s">
        <v>16</v>
      </c>
      <c r="E9" s="8">
        <v>112000.0</v>
      </c>
      <c r="F9" s="9">
        <v>1.125E7</v>
      </c>
      <c r="G9" s="11" t="s">
        <v>21</v>
      </c>
      <c r="H9" s="10" t="s">
        <v>12</v>
      </c>
    </row>
    <row r="10" ht="22.5" customHeight="1">
      <c r="A10" s="5" t="s">
        <v>8</v>
      </c>
      <c r="B10" s="5" t="s">
        <v>9</v>
      </c>
      <c r="C10" s="6">
        <v>541.0</v>
      </c>
      <c r="D10" s="7" t="s">
        <v>16</v>
      </c>
      <c r="E10" s="8">
        <v>11000.0</v>
      </c>
      <c r="F10" s="9">
        <v>1.126E7</v>
      </c>
      <c r="G10" s="9" t="s">
        <v>22</v>
      </c>
      <c r="H10" s="10" t="s">
        <v>12</v>
      </c>
    </row>
    <row r="11" ht="22.5" customHeight="1">
      <c r="A11" s="5" t="s">
        <v>8</v>
      </c>
      <c r="B11" s="5" t="s">
        <v>9</v>
      </c>
      <c r="C11" s="6">
        <v>541.0</v>
      </c>
      <c r="D11" s="7" t="s">
        <v>23</v>
      </c>
      <c r="E11" s="12">
        <v>1000.0</v>
      </c>
      <c r="F11" s="9">
        <v>1.124E7</v>
      </c>
      <c r="G11" s="13" t="s">
        <v>20</v>
      </c>
      <c r="H11" s="10" t="s">
        <v>12</v>
      </c>
    </row>
    <row r="12" ht="22.5" customHeight="1">
      <c r="A12" s="5" t="s">
        <v>8</v>
      </c>
      <c r="B12" s="5" t="s">
        <v>24</v>
      </c>
      <c r="C12" s="6">
        <v>605.0</v>
      </c>
      <c r="D12" s="7" t="s">
        <v>25</v>
      </c>
      <c r="E12" s="12">
        <v>6000000.0</v>
      </c>
      <c r="F12" s="14">
        <v>1.082E7</v>
      </c>
      <c r="G12" s="13" t="s">
        <v>26</v>
      </c>
      <c r="H12" s="10" t="s">
        <v>12</v>
      </c>
    </row>
    <row r="13" ht="22.5" customHeight="1">
      <c r="A13" s="5" t="s">
        <v>8</v>
      </c>
      <c r="B13" s="5" t="s">
        <v>24</v>
      </c>
      <c r="C13" s="6">
        <v>605.0</v>
      </c>
      <c r="D13" s="7" t="s">
        <v>27</v>
      </c>
      <c r="E13" s="15">
        <v>630809.49</v>
      </c>
      <c r="F13" s="9">
        <v>1.075E7</v>
      </c>
      <c r="G13" s="13" t="s">
        <v>28</v>
      </c>
      <c r="H13" s="10" t="s">
        <v>12</v>
      </c>
    </row>
    <row r="14" ht="22.5" customHeight="1">
      <c r="A14" s="5" t="s">
        <v>8</v>
      </c>
      <c r="B14" s="5" t="s">
        <v>24</v>
      </c>
      <c r="C14" s="6">
        <v>605.0</v>
      </c>
      <c r="D14" s="7" t="s">
        <v>27</v>
      </c>
      <c r="E14" s="15">
        <v>590000.0</v>
      </c>
      <c r="F14" s="9">
        <v>1.076E7</v>
      </c>
      <c r="G14" s="13" t="s">
        <v>29</v>
      </c>
      <c r="H14" s="10" t="s">
        <v>12</v>
      </c>
    </row>
    <row r="15" ht="22.5" customHeight="1">
      <c r="A15" s="5" t="s">
        <v>8</v>
      </c>
      <c r="B15" s="5" t="s">
        <v>24</v>
      </c>
      <c r="C15" s="6">
        <v>606.0</v>
      </c>
      <c r="D15" s="7" t="s">
        <v>25</v>
      </c>
      <c r="E15" s="15">
        <v>1800000.0</v>
      </c>
      <c r="F15" s="9">
        <v>1.077E7</v>
      </c>
      <c r="G15" s="13" t="s">
        <v>30</v>
      </c>
      <c r="H15" s="10" t="s">
        <v>12</v>
      </c>
    </row>
    <row r="16" ht="22.5" customHeight="1">
      <c r="A16" s="5" t="s">
        <v>8</v>
      </c>
      <c r="B16" s="5" t="s">
        <v>24</v>
      </c>
      <c r="C16" s="6">
        <v>606.0</v>
      </c>
      <c r="D16" s="7" t="s">
        <v>25</v>
      </c>
      <c r="E16" s="15">
        <v>381000.0</v>
      </c>
      <c r="F16" s="9">
        <v>1.078E7</v>
      </c>
      <c r="G16" s="13" t="s">
        <v>31</v>
      </c>
      <c r="H16" s="10" t="s">
        <v>12</v>
      </c>
    </row>
    <row r="17" ht="22.5" customHeight="1">
      <c r="A17" s="5" t="s">
        <v>8</v>
      </c>
      <c r="B17" s="5" t="s">
        <v>24</v>
      </c>
      <c r="C17" s="6">
        <v>606.0</v>
      </c>
      <c r="D17" s="7" t="s">
        <v>25</v>
      </c>
      <c r="E17" s="15">
        <v>1210000.0</v>
      </c>
      <c r="F17" s="9">
        <v>1.083E7</v>
      </c>
      <c r="G17" s="13" t="s">
        <v>32</v>
      </c>
      <c r="H17" s="10" t="s">
        <v>12</v>
      </c>
    </row>
    <row r="18" ht="22.5" customHeight="1">
      <c r="A18" s="5" t="s">
        <v>8</v>
      </c>
      <c r="B18" s="5" t="s">
        <v>24</v>
      </c>
      <c r="C18" s="6">
        <v>606.0</v>
      </c>
      <c r="D18" s="7" t="s">
        <v>33</v>
      </c>
      <c r="E18" s="15">
        <v>2442771.45</v>
      </c>
      <c r="F18" s="9">
        <v>2.15E7</v>
      </c>
      <c r="G18" s="13" t="s">
        <v>34</v>
      </c>
      <c r="H18" s="10" t="s">
        <v>12</v>
      </c>
    </row>
    <row r="19" ht="22.5" customHeight="1">
      <c r="A19" s="5" t="s">
        <v>8</v>
      </c>
      <c r="B19" s="5" t="s">
        <v>24</v>
      </c>
      <c r="C19" s="6">
        <v>608.0</v>
      </c>
      <c r="D19" s="7" t="s">
        <v>25</v>
      </c>
      <c r="E19" s="15">
        <v>5.94462E7</v>
      </c>
      <c r="F19" s="9">
        <v>1.079E7</v>
      </c>
      <c r="G19" s="13" t="s">
        <v>35</v>
      </c>
      <c r="H19" s="10" t="s">
        <v>12</v>
      </c>
    </row>
    <row r="20" ht="22.5" customHeight="1">
      <c r="A20" s="5" t="s">
        <v>8</v>
      </c>
      <c r="B20" s="5" t="s">
        <v>24</v>
      </c>
      <c r="C20" s="6">
        <v>608.0</v>
      </c>
      <c r="D20" s="7" t="s">
        <v>25</v>
      </c>
      <c r="E20" s="15">
        <v>5000.0</v>
      </c>
      <c r="F20" s="9">
        <v>1.08E7</v>
      </c>
      <c r="G20" s="13" t="s">
        <v>36</v>
      </c>
      <c r="H20" s="10" t="s">
        <v>12</v>
      </c>
    </row>
    <row r="21" ht="22.5" customHeight="1">
      <c r="A21" s="5" t="s">
        <v>8</v>
      </c>
      <c r="B21" s="5" t="s">
        <v>24</v>
      </c>
      <c r="C21" s="6">
        <v>608.0</v>
      </c>
      <c r="D21" s="7" t="s">
        <v>25</v>
      </c>
      <c r="E21" s="15">
        <v>3345000.0</v>
      </c>
      <c r="F21" s="9">
        <v>1.081E7</v>
      </c>
      <c r="G21" s="13" t="s">
        <v>29</v>
      </c>
      <c r="H21" s="10" t="s">
        <v>12</v>
      </c>
    </row>
    <row r="22" ht="22.5" customHeight="1">
      <c r="A22" s="5" t="s">
        <v>8</v>
      </c>
      <c r="B22" s="5" t="s">
        <v>24</v>
      </c>
      <c r="C22" s="6">
        <v>608.0</v>
      </c>
      <c r="D22" s="7" t="s">
        <v>25</v>
      </c>
      <c r="E22" s="15">
        <v>3.0008E7</v>
      </c>
      <c r="F22" s="9">
        <v>1.334E7</v>
      </c>
      <c r="G22" s="13" t="s">
        <v>37</v>
      </c>
      <c r="H22" s="10" t="s">
        <v>12</v>
      </c>
    </row>
    <row r="23" ht="22.5" customHeight="1">
      <c r="A23" s="5" t="s">
        <v>8</v>
      </c>
      <c r="B23" s="5" t="s">
        <v>24</v>
      </c>
      <c r="C23" s="6">
        <v>608.0</v>
      </c>
      <c r="D23" s="7" t="s">
        <v>38</v>
      </c>
      <c r="E23" s="12">
        <v>2000000.0</v>
      </c>
      <c r="F23" s="9">
        <v>1.079E7</v>
      </c>
      <c r="G23" s="13" t="s">
        <v>35</v>
      </c>
      <c r="H23" s="10" t="s">
        <v>12</v>
      </c>
    </row>
    <row r="24" ht="22.5" customHeight="1">
      <c r="A24" s="5" t="s">
        <v>8</v>
      </c>
      <c r="B24" s="5" t="s">
        <v>39</v>
      </c>
      <c r="C24" s="6">
        <v>122.0</v>
      </c>
      <c r="D24" s="7" t="s">
        <v>40</v>
      </c>
      <c r="E24" s="12">
        <v>3890000.0</v>
      </c>
      <c r="F24" s="9">
        <v>2.186E7</v>
      </c>
      <c r="G24" s="13" t="s">
        <v>41</v>
      </c>
      <c r="H24" s="10" t="s">
        <v>12</v>
      </c>
    </row>
    <row r="25" ht="22.5" customHeight="1">
      <c r="A25" s="5" t="s">
        <v>8</v>
      </c>
      <c r="B25" s="5" t="s">
        <v>42</v>
      </c>
      <c r="C25" s="6">
        <v>691.0</v>
      </c>
      <c r="D25" s="7" t="s">
        <v>43</v>
      </c>
      <c r="E25" s="12">
        <v>1361000.0</v>
      </c>
      <c r="F25" s="9">
        <v>2.213E7</v>
      </c>
      <c r="G25" s="13" t="s">
        <v>44</v>
      </c>
      <c r="H25" s="10" t="s">
        <v>45</v>
      </c>
    </row>
    <row r="26" ht="22.5" customHeight="1">
      <c r="A26" s="5" t="s">
        <v>8</v>
      </c>
      <c r="B26" s="5" t="s">
        <v>42</v>
      </c>
      <c r="C26" s="6">
        <v>691.0</v>
      </c>
      <c r="D26" s="7" t="s">
        <v>46</v>
      </c>
      <c r="E26" s="15">
        <v>805582.32</v>
      </c>
      <c r="F26" s="9">
        <v>1.284E7</v>
      </c>
      <c r="G26" s="13" t="s">
        <v>47</v>
      </c>
      <c r="H26" s="10" t="s">
        <v>12</v>
      </c>
    </row>
    <row r="27" ht="22.5" customHeight="1">
      <c r="A27" s="5" t="s">
        <v>8</v>
      </c>
      <c r="B27" s="5" t="s">
        <v>42</v>
      </c>
      <c r="C27" s="6">
        <v>691.0</v>
      </c>
      <c r="D27" s="7" t="s">
        <v>46</v>
      </c>
      <c r="E27" s="15">
        <v>509811.63</v>
      </c>
      <c r="F27" s="9">
        <v>1.285E7</v>
      </c>
      <c r="G27" s="13" t="s">
        <v>48</v>
      </c>
      <c r="H27" s="10" t="s">
        <v>12</v>
      </c>
    </row>
    <row r="28" ht="22.5" customHeight="1">
      <c r="A28" s="5" t="s">
        <v>8</v>
      </c>
      <c r="B28" s="5" t="s">
        <v>42</v>
      </c>
      <c r="C28" s="6">
        <v>691.0</v>
      </c>
      <c r="D28" s="7" t="s">
        <v>49</v>
      </c>
      <c r="E28" s="15">
        <v>100000.0</v>
      </c>
      <c r="F28" s="9">
        <v>1.353E7</v>
      </c>
      <c r="G28" s="13" t="s">
        <v>50</v>
      </c>
      <c r="H28" s="10" t="s">
        <v>12</v>
      </c>
    </row>
    <row r="29" ht="22.5" customHeight="1">
      <c r="A29" s="5" t="s">
        <v>8</v>
      </c>
      <c r="B29" s="5" t="s">
        <v>42</v>
      </c>
      <c r="C29" s="6">
        <v>691.0</v>
      </c>
      <c r="D29" s="7" t="s">
        <v>49</v>
      </c>
      <c r="E29" s="15">
        <v>1285928.7</v>
      </c>
      <c r="F29" s="9">
        <v>2.184E7</v>
      </c>
      <c r="G29" s="13" t="s">
        <v>51</v>
      </c>
      <c r="H29" s="10" t="s">
        <v>12</v>
      </c>
    </row>
    <row r="30" ht="22.5" customHeight="1">
      <c r="A30" s="5" t="s">
        <v>8</v>
      </c>
      <c r="B30" s="5" t="s">
        <v>42</v>
      </c>
      <c r="C30" s="6">
        <v>691.0</v>
      </c>
      <c r="D30" s="7" t="s">
        <v>40</v>
      </c>
      <c r="E30" s="15">
        <v>710000.0</v>
      </c>
      <c r="F30" s="9">
        <v>1.344E7</v>
      </c>
      <c r="G30" s="13" t="s">
        <v>52</v>
      </c>
      <c r="H30" s="10" t="s">
        <v>45</v>
      </c>
    </row>
    <row r="31" ht="22.5" customHeight="1">
      <c r="A31" s="5" t="s">
        <v>8</v>
      </c>
      <c r="B31" s="5" t="s">
        <v>42</v>
      </c>
      <c r="C31" s="6">
        <v>691.0</v>
      </c>
      <c r="D31" s="7" t="s">
        <v>40</v>
      </c>
      <c r="E31" s="16">
        <v>380000.0</v>
      </c>
      <c r="F31" s="9">
        <v>1.345E7</v>
      </c>
      <c r="G31" s="13" t="s">
        <v>48</v>
      </c>
      <c r="H31" s="10" t="s">
        <v>45</v>
      </c>
    </row>
    <row r="32">
      <c r="F32" s="17"/>
      <c r="G32" s="18"/>
      <c r="H32" s="18"/>
    </row>
    <row r="33" ht="22.5" customHeight="1">
      <c r="A33" s="1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3" t="s">
        <v>5</v>
      </c>
      <c r="G33" s="3" t="s">
        <v>6</v>
      </c>
      <c r="H33" s="18"/>
    </row>
    <row r="34">
      <c r="A34" s="19" t="s">
        <v>53</v>
      </c>
      <c r="B34" s="19" t="s">
        <v>54</v>
      </c>
      <c r="C34" s="20">
        <v>121.0</v>
      </c>
      <c r="D34" s="21" t="s">
        <v>55</v>
      </c>
      <c r="E34" s="22">
        <v>1058356.0</v>
      </c>
      <c r="F34" s="23">
        <v>1.159E7</v>
      </c>
      <c r="G34" s="24" t="s">
        <v>56</v>
      </c>
      <c r="H34" s="25" t="s">
        <v>45</v>
      </c>
    </row>
    <row r="35">
      <c r="A35" s="19" t="s">
        <v>53</v>
      </c>
      <c r="B35" s="19" t="s">
        <v>54</v>
      </c>
      <c r="C35" s="20">
        <v>121.0</v>
      </c>
      <c r="D35" s="21" t="s">
        <v>55</v>
      </c>
      <c r="E35" s="22">
        <v>2.60405782E7</v>
      </c>
      <c r="F35" s="26">
        <v>1.162E7</v>
      </c>
      <c r="G35" s="23" t="s">
        <v>57</v>
      </c>
      <c r="H35" s="25" t="s">
        <v>45</v>
      </c>
    </row>
    <row r="36">
      <c r="A36" s="19" t="s">
        <v>53</v>
      </c>
      <c r="B36" s="19" t="s">
        <v>54</v>
      </c>
      <c r="C36" s="20">
        <v>121.0</v>
      </c>
      <c r="D36" s="21" t="s">
        <v>55</v>
      </c>
      <c r="E36" s="22">
        <v>1.60164502E8</v>
      </c>
      <c r="F36" s="23">
        <v>1.166E7</v>
      </c>
      <c r="G36" s="23" t="s">
        <v>58</v>
      </c>
      <c r="H36" s="25" t="s">
        <v>45</v>
      </c>
    </row>
    <row r="37">
      <c r="A37" s="19" t="s">
        <v>53</v>
      </c>
      <c r="B37" s="19" t="s">
        <v>54</v>
      </c>
      <c r="C37" s="20">
        <v>121.0</v>
      </c>
      <c r="D37" s="21" t="s">
        <v>55</v>
      </c>
      <c r="E37" s="22">
        <v>5.0E7</v>
      </c>
      <c r="F37" s="23">
        <v>1.167E7</v>
      </c>
      <c r="G37" s="23" t="s">
        <v>59</v>
      </c>
      <c r="H37" s="25" t="s">
        <v>45</v>
      </c>
    </row>
    <row r="38">
      <c r="A38" s="19" t="s">
        <v>53</v>
      </c>
      <c r="B38" s="19" t="s">
        <v>60</v>
      </c>
      <c r="C38" s="20">
        <v>122.0</v>
      </c>
      <c r="D38" s="21" t="s">
        <v>55</v>
      </c>
      <c r="E38" s="27">
        <v>7538452.78</v>
      </c>
      <c r="F38" s="23">
        <v>1.163E7</v>
      </c>
      <c r="G38" s="23" t="s">
        <v>61</v>
      </c>
      <c r="H38" s="25" t="s">
        <v>45</v>
      </c>
    </row>
    <row r="39">
      <c r="A39" s="19" t="s">
        <v>53</v>
      </c>
      <c r="B39" s="19" t="s">
        <v>60</v>
      </c>
      <c r="C39" s="20">
        <v>752.0</v>
      </c>
      <c r="D39" s="21" t="s">
        <v>55</v>
      </c>
      <c r="E39" s="28">
        <v>1000.0</v>
      </c>
      <c r="F39" s="23">
        <v>1.359E7</v>
      </c>
      <c r="G39" s="23" t="s">
        <v>62</v>
      </c>
      <c r="H39" s="29" t="s">
        <v>12</v>
      </c>
    </row>
    <row r="40">
      <c r="A40" s="19" t="s">
        <v>53</v>
      </c>
      <c r="B40" s="19" t="s">
        <v>60</v>
      </c>
      <c r="C40" s="20">
        <v>752.0</v>
      </c>
      <c r="D40" s="21" t="s">
        <v>63</v>
      </c>
      <c r="E40" s="28">
        <v>1000.0</v>
      </c>
      <c r="F40" s="23">
        <v>1.358E7</v>
      </c>
      <c r="G40" s="23" t="s">
        <v>62</v>
      </c>
      <c r="H40" s="29" t="s">
        <v>12</v>
      </c>
    </row>
    <row r="41">
      <c r="A41" s="19" t="s">
        <v>53</v>
      </c>
      <c r="B41" s="19" t="s">
        <v>60</v>
      </c>
      <c r="C41" s="20">
        <v>752.0</v>
      </c>
      <c r="D41" s="21" t="s">
        <v>64</v>
      </c>
      <c r="E41" s="28">
        <v>1000.0</v>
      </c>
      <c r="F41" s="23">
        <v>1.36E7</v>
      </c>
      <c r="G41" s="23" t="s">
        <v>62</v>
      </c>
      <c r="H41" s="29" t="s">
        <v>12</v>
      </c>
    </row>
    <row r="42">
      <c r="A42" s="19" t="s">
        <v>53</v>
      </c>
      <c r="B42" s="19" t="s">
        <v>65</v>
      </c>
      <c r="C42" s="20">
        <v>542.0</v>
      </c>
      <c r="D42" s="21" t="s">
        <v>66</v>
      </c>
      <c r="E42" s="28">
        <v>1198684.01</v>
      </c>
      <c r="F42" s="23">
        <v>1.347E7</v>
      </c>
      <c r="G42" s="23" t="s">
        <v>67</v>
      </c>
      <c r="H42" s="29" t="s">
        <v>12</v>
      </c>
    </row>
    <row r="43">
      <c r="A43" s="19" t="s">
        <v>53</v>
      </c>
      <c r="B43" s="19" t="s">
        <v>65</v>
      </c>
      <c r="C43" s="20">
        <v>542.0</v>
      </c>
      <c r="D43" s="21" t="s">
        <v>68</v>
      </c>
      <c r="E43" s="28">
        <v>1000.0</v>
      </c>
      <c r="F43" s="23">
        <v>1.366E7</v>
      </c>
      <c r="G43" s="23" t="s">
        <v>67</v>
      </c>
      <c r="H43" s="29" t="s">
        <v>12</v>
      </c>
    </row>
    <row r="44">
      <c r="A44" s="19" t="s">
        <v>53</v>
      </c>
      <c r="B44" s="19" t="s">
        <v>69</v>
      </c>
      <c r="C44" s="20">
        <v>512.0</v>
      </c>
      <c r="D44" s="21" t="s">
        <v>70</v>
      </c>
      <c r="E44" s="28">
        <v>31000.0</v>
      </c>
      <c r="F44" s="23">
        <v>1.133E7</v>
      </c>
      <c r="G44" s="23" t="s">
        <v>71</v>
      </c>
      <c r="H44" s="29" t="s">
        <v>12</v>
      </c>
    </row>
    <row r="45">
      <c r="A45" s="19" t="s">
        <v>53</v>
      </c>
      <c r="B45" s="19" t="s">
        <v>69</v>
      </c>
      <c r="C45" s="20">
        <v>752.0</v>
      </c>
      <c r="D45" s="21" t="s">
        <v>72</v>
      </c>
      <c r="E45" s="28">
        <v>1000.0</v>
      </c>
      <c r="F45" s="23">
        <v>1.357E7</v>
      </c>
      <c r="G45" s="23" t="s">
        <v>62</v>
      </c>
      <c r="H45" s="29" t="s">
        <v>12</v>
      </c>
    </row>
    <row r="46">
      <c r="A46" s="19" t="s">
        <v>53</v>
      </c>
      <c r="B46" s="19" t="s">
        <v>73</v>
      </c>
      <c r="C46" s="20">
        <v>122.0</v>
      </c>
      <c r="D46" s="21" t="s">
        <v>16</v>
      </c>
      <c r="E46" s="22">
        <v>300000.0</v>
      </c>
      <c r="F46" s="23">
        <v>1.119E7</v>
      </c>
      <c r="G46" s="23" t="s">
        <v>74</v>
      </c>
      <c r="H46" s="29" t="s">
        <v>12</v>
      </c>
    </row>
    <row r="47">
      <c r="A47" s="19" t="s">
        <v>53</v>
      </c>
      <c r="B47" s="19" t="s">
        <v>73</v>
      </c>
      <c r="C47" s="20">
        <v>122.0</v>
      </c>
      <c r="D47" s="21" t="s">
        <v>16</v>
      </c>
      <c r="E47" s="22">
        <v>1832764.37</v>
      </c>
      <c r="F47" s="23">
        <v>2.163E7</v>
      </c>
      <c r="G47" s="23" t="s">
        <v>75</v>
      </c>
      <c r="H47" s="29" t="s">
        <v>12</v>
      </c>
    </row>
    <row r="48">
      <c r="A48" s="19" t="s">
        <v>53</v>
      </c>
      <c r="B48" s="19" t="s">
        <v>73</v>
      </c>
      <c r="C48" s="20">
        <v>122.0</v>
      </c>
      <c r="D48" s="21" t="s">
        <v>76</v>
      </c>
      <c r="E48" s="22">
        <v>1200.0</v>
      </c>
      <c r="F48" s="23">
        <v>2.169E7</v>
      </c>
      <c r="G48" s="23" t="s">
        <v>77</v>
      </c>
      <c r="H48" s="29" t="s">
        <v>12</v>
      </c>
    </row>
    <row r="49">
      <c r="A49" s="19" t="s">
        <v>53</v>
      </c>
      <c r="B49" s="19" t="s">
        <v>73</v>
      </c>
      <c r="C49" s="20">
        <v>122.0</v>
      </c>
      <c r="D49" s="21" t="s">
        <v>76</v>
      </c>
      <c r="E49" s="22">
        <v>5000000.0</v>
      </c>
      <c r="F49" s="23">
        <v>2.17E7</v>
      </c>
      <c r="G49" s="23" t="s">
        <v>78</v>
      </c>
      <c r="H49" s="29" t="s">
        <v>12</v>
      </c>
    </row>
    <row r="50">
      <c r="A50" s="19" t="s">
        <v>53</v>
      </c>
      <c r="B50" s="19" t="s">
        <v>73</v>
      </c>
      <c r="C50" s="20">
        <v>122.0</v>
      </c>
      <c r="D50" s="21" t="s">
        <v>23</v>
      </c>
      <c r="E50" s="28">
        <v>1000.0</v>
      </c>
      <c r="F50" s="23">
        <v>2.002E7</v>
      </c>
      <c r="G50" s="23" t="s">
        <v>79</v>
      </c>
      <c r="H50" s="29" t="s">
        <v>12</v>
      </c>
    </row>
    <row r="51">
      <c r="A51" s="19" t="s">
        <v>53</v>
      </c>
      <c r="B51" s="19" t="s">
        <v>73</v>
      </c>
      <c r="C51" s="20">
        <v>122.0</v>
      </c>
      <c r="D51" s="21" t="s">
        <v>80</v>
      </c>
      <c r="E51" s="28">
        <v>1698810.85</v>
      </c>
      <c r="F51" s="23">
        <v>2.169E7</v>
      </c>
      <c r="G51" s="23" t="s">
        <v>77</v>
      </c>
      <c r="H51" s="29" t="s">
        <v>12</v>
      </c>
    </row>
    <row r="52">
      <c r="A52" s="19" t="s">
        <v>53</v>
      </c>
      <c r="B52" s="19" t="s">
        <v>73</v>
      </c>
      <c r="C52" s="20">
        <v>122.0</v>
      </c>
      <c r="D52" s="21" t="s">
        <v>81</v>
      </c>
      <c r="E52" s="28">
        <v>262000.0</v>
      </c>
      <c r="F52" s="23">
        <v>2.171E7</v>
      </c>
      <c r="G52" s="23" t="s">
        <v>82</v>
      </c>
      <c r="H52" s="29" t="s">
        <v>12</v>
      </c>
    </row>
    <row r="53">
      <c r="A53" s="19" t="s">
        <v>53</v>
      </c>
      <c r="B53" s="19" t="s">
        <v>73</v>
      </c>
      <c r="C53" s="20">
        <v>541.0</v>
      </c>
      <c r="D53" s="21" t="s">
        <v>81</v>
      </c>
      <c r="E53" s="28">
        <v>8000.0</v>
      </c>
      <c r="F53" s="23">
        <v>1.14E7</v>
      </c>
      <c r="G53" s="23" t="s">
        <v>83</v>
      </c>
      <c r="H53" s="29" t="s">
        <v>12</v>
      </c>
    </row>
    <row r="54">
      <c r="A54" s="19" t="s">
        <v>53</v>
      </c>
      <c r="B54" s="19" t="s">
        <v>73</v>
      </c>
      <c r="C54" s="20">
        <v>541.0</v>
      </c>
      <c r="D54" s="21" t="s">
        <v>81</v>
      </c>
      <c r="E54" s="28">
        <v>1000.0</v>
      </c>
      <c r="F54" s="23">
        <v>1.142E7</v>
      </c>
      <c r="G54" s="23" t="s">
        <v>84</v>
      </c>
      <c r="H54" s="29" t="s">
        <v>12</v>
      </c>
    </row>
    <row r="55">
      <c r="A55" s="19" t="s">
        <v>53</v>
      </c>
      <c r="B55" s="19" t="s">
        <v>73</v>
      </c>
      <c r="C55" s="20">
        <v>542.0</v>
      </c>
      <c r="D55" s="21" t="s">
        <v>16</v>
      </c>
      <c r="E55" s="22">
        <v>3560000.0</v>
      </c>
      <c r="F55" s="23">
        <v>1.127E7</v>
      </c>
      <c r="G55" s="23" t="s">
        <v>85</v>
      </c>
      <c r="H55" s="29" t="s">
        <v>12</v>
      </c>
    </row>
    <row r="56">
      <c r="A56" s="19" t="s">
        <v>53</v>
      </c>
      <c r="B56" s="19" t="s">
        <v>73</v>
      </c>
      <c r="C56" s="20">
        <v>542.0</v>
      </c>
      <c r="D56" s="21" t="s">
        <v>16</v>
      </c>
      <c r="E56" s="22">
        <v>546680.0</v>
      </c>
      <c r="F56" s="23">
        <v>1.128E7</v>
      </c>
      <c r="G56" s="23" t="s">
        <v>86</v>
      </c>
      <c r="H56" s="29" t="s">
        <v>12</v>
      </c>
    </row>
    <row r="57">
      <c r="A57" s="19" t="s">
        <v>53</v>
      </c>
      <c r="B57" s="19" t="s">
        <v>73</v>
      </c>
      <c r="C57" s="20">
        <v>542.0</v>
      </c>
      <c r="D57" s="21" t="s">
        <v>16</v>
      </c>
      <c r="E57" s="22">
        <v>73000.0</v>
      </c>
      <c r="F57" s="23">
        <v>2.164E7</v>
      </c>
      <c r="G57" s="23" t="s">
        <v>87</v>
      </c>
      <c r="H57" s="29" t="s">
        <v>12</v>
      </c>
    </row>
    <row r="58">
      <c r="A58" s="19" t="s">
        <v>53</v>
      </c>
      <c r="B58" s="19" t="s">
        <v>73</v>
      </c>
      <c r="C58" s="20">
        <v>542.0</v>
      </c>
      <c r="D58" s="21" t="s">
        <v>16</v>
      </c>
      <c r="E58" s="22">
        <v>6320710.0</v>
      </c>
      <c r="F58" s="26">
        <v>2.165E7</v>
      </c>
      <c r="G58" s="23" t="s">
        <v>88</v>
      </c>
      <c r="H58" s="29" t="s">
        <v>12</v>
      </c>
    </row>
    <row r="59">
      <c r="A59" s="19" t="s">
        <v>53</v>
      </c>
      <c r="B59" s="19" t="s">
        <v>73</v>
      </c>
      <c r="C59" s="20">
        <v>542.0</v>
      </c>
      <c r="D59" s="21" t="s">
        <v>80</v>
      </c>
      <c r="E59" s="22">
        <v>1000.0</v>
      </c>
      <c r="F59" s="23">
        <v>1.136E7</v>
      </c>
      <c r="G59" s="23" t="s">
        <v>89</v>
      </c>
      <c r="H59" s="29" t="s">
        <v>12</v>
      </c>
    </row>
    <row r="60">
      <c r="A60" s="19" t="s">
        <v>53</v>
      </c>
      <c r="B60" s="19" t="s">
        <v>73</v>
      </c>
      <c r="C60" s="20">
        <v>542.0</v>
      </c>
      <c r="D60" s="21" t="s">
        <v>80</v>
      </c>
      <c r="E60" s="22">
        <v>4951904.0</v>
      </c>
      <c r="F60" s="23">
        <v>1.137E7</v>
      </c>
      <c r="G60" s="23" t="s">
        <v>90</v>
      </c>
      <c r="H60" s="29" t="s">
        <v>12</v>
      </c>
    </row>
    <row r="61">
      <c r="A61" s="19" t="s">
        <v>53</v>
      </c>
      <c r="B61" s="19" t="s">
        <v>73</v>
      </c>
      <c r="C61" s="20">
        <v>542.0</v>
      </c>
      <c r="D61" s="21" t="s">
        <v>80</v>
      </c>
      <c r="E61" s="22">
        <v>1000.0</v>
      </c>
      <c r="F61" s="23">
        <v>1.139E7</v>
      </c>
      <c r="G61" s="23" t="s">
        <v>91</v>
      </c>
      <c r="H61" s="29" t="s">
        <v>12</v>
      </c>
    </row>
    <row r="62">
      <c r="A62" s="19" t="s">
        <v>53</v>
      </c>
      <c r="B62" s="19" t="s">
        <v>73</v>
      </c>
      <c r="C62" s="20">
        <v>542.0</v>
      </c>
      <c r="D62" s="21" t="s">
        <v>76</v>
      </c>
      <c r="E62" s="22">
        <v>1000.0</v>
      </c>
      <c r="F62" s="23">
        <v>1.135E7</v>
      </c>
      <c r="G62" s="23" t="s">
        <v>92</v>
      </c>
      <c r="H62" s="29" t="s">
        <v>12</v>
      </c>
    </row>
    <row r="63">
      <c r="A63" s="19" t="s">
        <v>53</v>
      </c>
      <c r="B63" s="19" t="s">
        <v>73</v>
      </c>
      <c r="C63" s="20">
        <v>542.0</v>
      </c>
      <c r="D63" s="21" t="s">
        <v>76</v>
      </c>
      <c r="E63" s="22">
        <v>1000.0</v>
      </c>
      <c r="F63" s="23">
        <v>1.137E7</v>
      </c>
      <c r="G63" s="23" t="s">
        <v>90</v>
      </c>
      <c r="H63" s="29" t="s">
        <v>12</v>
      </c>
    </row>
    <row r="64">
      <c r="A64" s="19" t="s">
        <v>53</v>
      </c>
      <c r="B64" s="19" t="s">
        <v>73</v>
      </c>
      <c r="C64" s="20">
        <v>542.0</v>
      </c>
      <c r="D64" s="21" t="s">
        <v>76</v>
      </c>
      <c r="E64" s="22">
        <v>1000.0</v>
      </c>
      <c r="F64" s="23">
        <v>1.139E7</v>
      </c>
      <c r="G64" s="23" t="s">
        <v>91</v>
      </c>
      <c r="H64" s="29" t="s">
        <v>12</v>
      </c>
    </row>
    <row r="65">
      <c r="A65" s="19" t="s">
        <v>53</v>
      </c>
      <c r="B65" s="19" t="s">
        <v>73</v>
      </c>
      <c r="C65" s="20">
        <v>542.0</v>
      </c>
      <c r="D65" s="21" t="s">
        <v>23</v>
      </c>
      <c r="E65" s="28">
        <v>1000.0</v>
      </c>
      <c r="F65" s="23">
        <v>1.127E7</v>
      </c>
      <c r="G65" s="23" t="s">
        <v>85</v>
      </c>
      <c r="H65" s="29" t="s">
        <v>12</v>
      </c>
    </row>
    <row r="66">
      <c r="A66" s="19" t="s">
        <v>53</v>
      </c>
      <c r="B66" s="19" t="s">
        <v>93</v>
      </c>
      <c r="C66" s="20">
        <v>752.0</v>
      </c>
      <c r="D66" s="21" t="s">
        <v>72</v>
      </c>
      <c r="E66" s="28">
        <v>70000.0</v>
      </c>
      <c r="F66" s="23">
        <v>1.047E7</v>
      </c>
      <c r="G66" s="23" t="s">
        <v>94</v>
      </c>
      <c r="H66" s="25" t="s">
        <v>45</v>
      </c>
    </row>
    <row r="67">
      <c r="A67" s="19" t="s">
        <v>53</v>
      </c>
      <c r="B67" s="19" t="s">
        <v>95</v>
      </c>
      <c r="C67" s="20">
        <v>782.0</v>
      </c>
      <c r="D67" s="21" t="s">
        <v>96</v>
      </c>
      <c r="E67" s="30">
        <v>4737384.18</v>
      </c>
      <c r="F67" s="23">
        <v>1.17E7</v>
      </c>
      <c r="G67" s="23" t="s">
        <v>97</v>
      </c>
      <c r="H67" s="25" t="s">
        <v>45</v>
      </c>
    </row>
    <row r="68">
      <c r="A68" s="19" t="s">
        <v>53</v>
      </c>
      <c r="B68" s="19" t="s">
        <v>95</v>
      </c>
      <c r="C68" s="20">
        <v>782.0</v>
      </c>
      <c r="D68" s="21" t="s">
        <v>96</v>
      </c>
      <c r="E68" s="30">
        <v>9.728564731E7</v>
      </c>
      <c r="F68" s="23">
        <v>2.195E7</v>
      </c>
      <c r="G68" s="23" t="s">
        <v>98</v>
      </c>
      <c r="H68" s="25" t="s">
        <v>45</v>
      </c>
    </row>
    <row r="69">
      <c r="A69" s="19" t="s">
        <v>53</v>
      </c>
      <c r="B69" s="19" t="s">
        <v>95</v>
      </c>
      <c r="C69" s="20">
        <v>782.0</v>
      </c>
      <c r="D69" s="21" t="s">
        <v>72</v>
      </c>
      <c r="E69" s="28">
        <v>480000.0</v>
      </c>
      <c r="F69" s="23">
        <v>1.046E7</v>
      </c>
      <c r="G69" s="23" t="s">
        <v>99</v>
      </c>
      <c r="H69" s="29" t="s">
        <v>12</v>
      </c>
    </row>
    <row r="71">
      <c r="F71" s="17"/>
      <c r="G71" s="17"/>
      <c r="H71" s="18"/>
    </row>
    <row r="72" ht="22.5" customHeight="1">
      <c r="A72" s="1" t="s">
        <v>0</v>
      </c>
      <c r="B72" s="2" t="s">
        <v>1</v>
      </c>
      <c r="C72" s="2" t="s">
        <v>2</v>
      </c>
      <c r="D72" s="2" t="s">
        <v>3</v>
      </c>
      <c r="E72" s="2" t="s">
        <v>4</v>
      </c>
      <c r="F72" s="3" t="s">
        <v>5</v>
      </c>
      <c r="G72" s="3" t="s">
        <v>6</v>
      </c>
      <c r="H72" s="4" t="s">
        <v>7</v>
      </c>
    </row>
    <row r="73">
      <c r="A73" s="31" t="s">
        <v>100</v>
      </c>
      <c r="B73" s="32" t="s">
        <v>101</v>
      </c>
      <c r="C73" s="33">
        <v>92.0</v>
      </c>
      <c r="D73" s="34" t="s">
        <v>102</v>
      </c>
      <c r="E73" s="35">
        <v>1000.0</v>
      </c>
      <c r="F73" s="36">
        <v>1.118E7</v>
      </c>
      <c r="G73" s="36" t="s">
        <v>103</v>
      </c>
      <c r="H73" s="29" t="s">
        <v>45</v>
      </c>
    </row>
    <row r="74">
      <c r="A74" s="19" t="s">
        <v>100</v>
      </c>
      <c r="B74" s="19" t="s">
        <v>60</v>
      </c>
      <c r="C74" s="20">
        <v>121.0</v>
      </c>
      <c r="D74" s="21" t="s">
        <v>10</v>
      </c>
      <c r="E74" s="28">
        <v>2.0E7</v>
      </c>
      <c r="F74" s="23">
        <v>2.228E7</v>
      </c>
      <c r="G74" s="23" t="s">
        <v>104</v>
      </c>
      <c r="H74" s="29" t="s">
        <v>45</v>
      </c>
    </row>
    <row r="75">
      <c r="A75" s="31" t="s">
        <v>100</v>
      </c>
      <c r="B75" s="32" t="s">
        <v>60</v>
      </c>
      <c r="C75" s="37">
        <v>122.0</v>
      </c>
      <c r="D75" s="34" t="s">
        <v>105</v>
      </c>
      <c r="E75" s="38">
        <v>100000.0</v>
      </c>
      <c r="F75" s="36">
        <v>2.152E7</v>
      </c>
      <c r="G75" s="36" t="s">
        <v>106</v>
      </c>
      <c r="H75" s="29" t="s">
        <v>45</v>
      </c>
    </row>
    <row r="76">
      <c r="A76" s="31" t="s">
        <v>100</v>
      </c>
      <c r="B76" s="32" t="s">
        <v>60</v>
      </c>
      <c r="C76" s="37">
        <v>122.0</v>
      </c>
      <c r="D76" s="34" t="s">
        <v>107</v>
      </c>
      <c r="E76" s="35">
        <f>50000+60000</f>
        <v>110000</v>
      </c>
      <c r="F76" s="36">
        <v>2.12E7</v>
      </c>
      <c r="G76" s="36" t="s">
        <v>108</v>
      </c>
      <c r="H76" s="29" t="s">
        <v>45</v>
      </c>
    </row>
    <row r="77">
      <c r="A77" s="31" t="s">
        <v>100</v>
      </c>
      <c r="B77" s="32" t="s">
        <v>60</v>
      </c>
      <c r="C77" s="37">
        <v>129.0</v>
      </c>
      <c r="D77" s="34" t="s">
        <v>64</v>
      </c>
      <c r="E77" s="38">
        <v>5456616.5</v>
      </c>
      <c r="F77" s="36">
        <v>1.197E7</v>
      </c>
      <c r="G77" s="36" t="s">
        <v>109</v>
      </c>
      <c r="H77" s="29" t="s">
        <v>45</v>
      </c>
    </row>
    <row r="78">
      <c r="A78" s="31" t="s">
        <v>100</v>
      </c>
      <c r="B78" s="32" t="s">
        <v>60</v>
      </c>
      <c r="C78" s="37">
        <v>129.0</v>
      </c>
      <c r="D78" s="34" t="s">
        <v>64</v>
      </c>
      <c r="E78" s="38">
        <v>6468075.0</v>
      </c>
      <c r="F78" s="36">
        <v>1.199E7</v>
      </c>
      <c r="G78" s="36" t="s">
        <v>110</v>
      </c>
      <c r="H78" s="29" t="s">
        <v>45</v>
      </c>
    </row>
    <row r="79">
      <c r="A79" s="31" t="s">
        <v>100</v>
      </c>
      <c r="B79" s="32" t="s">
        <v>60</v>
      </c>
      <c r="C79" s="37">
        <v>129.0</v>
      </c>
      <c r="D79" s="34" t="s">
        <v>64</v>
      </c>
      <c r="E79" s="38">
        <v>5020000.0</v>
      </c>
      <c r="F79" s="36">
        <v>1.203E7</v>
      </c>
      <c r="G79" s="36" t="s">
        <v>111</v>
      </c>
      <c r="H79" s="29" t="s">
        <v>45</v>
      </c>
    </row>
    <row r="80">
      <c r="A80" s="31" t="s">
        <v>100</v>
      </c>
      <c r="B80" s="32" t="s">
        <v>60</v>
      </c>
      <c r="C80" s="37">
        <v>129.0</v>
      </c>
      <c r="D80" s="34" t="s">
        <v>64</v>
      </c>
      <c r="E80" s="38">
        <v>5000000.0</v>
      </c>
      <c r="F80" s="36">
        <v>1.204E7</v>
      </c>
      <c r="G80" s="36" t="s">
        <v>112</v>
      </c>
      <c r="H80" s="29" t="s">
        <v>45</v>
      </c>
    </row>
    <row r="81">
      <c r="A81" s="31" t="s">
        <v>100</v>
      </c>
      <c r="B81" s="32" t="s">
        <v>60</v>
      </c>
      <c r="C81" s="37">
        <v>129.0</v>
      </c>
      <c r="D81" s="34" t="s">
        <v>64</v>
      </c>
      <c r="E81" s="38">
        <v>5250.0</v>
      </c>
      <c r="F81" s="36">
        <v>2.221E7</v>
      </c>
      <c r="G81" s="36" t="s">
        <v>113</v>
      </c>
      <c r="H81" s="29" t="s">
        <v>45</v>
      </c>
    </row>
    <row r="82">
      <c r="A82" s="31" t="s">
        <v>100</v>
      </c>
      <c r="B82" s="32" t="s">
        <v>60</v>
      </c>
      <c r="C82" s="37">
        <v>129.0</v>
      </c>
      <c r="D82" s="34" t="s">
        <v>10</v>
      </c>
      <c r="E82" s="38">
        <v>1000000.0</v>
      </c>
      <c r="F82" s="36">
        <v>1.197E7</v>
      </c>
      <c r="G82" s="36" t="s">
        <v>109</v>
      </c>
      <c r="H82" s="29" t="s">
        <v>45</v>
      </c>
    </row>
    <row r="83">
      <c r="A83" s="31" t="s">
        <v>100</v>
      </c>
      <c r="B83" s="32" t="s">
        <v>60</v>
      </c>
      <c r="C83" s="37">
        <v>129.0</v>
      </c>
      <c r="D83" s="34" t="s">
        <v>10</v>
      </c>
      <c r="E83" s="38">
        <v>4000000.0</v>
      </c>
      <c r="F83" s="36">
        <v>1.203E7</v>
      </c>
      <c r="G83" s="36" t="s">
        <v>111</v>
      </c>
      <c r="H83" s="29" t="s">
        <v>45</v>
      </c>
    </row>
    <row r="84">
      <c r="A84" s="31" t="s">
        <v>100</v>
      </c>
      <c r="B84" s="32" t="s">
        <v>114</v>
      </c>
      <c r="C84" s="37">
        <v>181.0</v>
      </c>
      <c r="D84" s="34" t="s">
        <v>68</v>
      </c>
      <c r="E84" s="35">
        <v>36000.0</v>
      </c>
      <c r="F84" s="36">
        <v>1.365E7</v>
      </c>
      <c r="G84" s="36" t="s">
        <v>115</v>
      </c>
      <c r="H84" s="29" t="s">
        <v>45</v>
      </c>
    </row>
    <row r="85">
      <c r="A85" s="31" t="s">
        <v>100</v>
      </c>
      <c r="B85" s="32" t="s">
        <v>114</v>
      </c>
      <c r="C85" s="37">
        <v>182.0</v>
      </c>
      <c r="D85" s="34" t="s">
        <v>116</v>
      </c>
      <c r="E85" s="35">
        <v>1000.0</v>
      </c>
      <c r="F85" s="36">
        <v>1.015E7</v>
      </c>
      <c r="G85" s="36" t="s">
        <v>117</v>
      </c>
      <c r="H85" s="29" t="s">
        <v>45</v>
      </c>
    </row>
    <row r="86">
      <c r="A86" s="31" t="s">
        <v>100</v>
      </c>
      <c r="B86" s="32" t="s">
        <v>118</v>
      </c>
      <c r="C86" s="37">
        <v>182.0</v>
      </c>
      <c r="D86" s="34" t="s">
        <v>119</v>
      </c>
      <c r="E86" s="38">
        <v>500000.0</v>
      </c>
      <c r="F86" s="36">
        <v>1.012E7</v>
      </c>
      <c r="G86" s="36" t="s">
        <v>120</v>
      </c>
      <c r="H86" s="29" t="s">
        <v>45</v>
      </c>
    </row>
    <row r="87">
      <c r="A87" s="31" t="s">
        <v>100</v>
      </c>
      <c r="B87" s="32" t="s">
        <v>118</v>
      </c>
      <c r="C87" s="37">
        <v>182.0</v>
      </c>
      <c r="D87" s="34" t="s">
        <v>119</v>
      </c>
      <c r="E87" s="38">
        <v>1999000.0</v>
      </c>
      <c r="F87" s="36">
        <v>1.014E7</v>
      </c>
      <c r="G87" s="36" t="s">
        <v>121</v>
      </c>
      <c r="H87" s="29" t="s">
        <v>45</v>
      </c>
    </row>
    <row r="88">
      <c r="A88" s="31" t="s">
        <v>100</v>
      </c>
      <c r="B88" s="32" t="s">
        <v>118</v>
      </c>
      <c r="C88" s="33">
        <v>183.0</v>
      </c>
      <c r="D88" s="34" t="s">
        <v>122</v>
      </c>
      <c r="E88" s="38">
        <v>200000.0</v>
      </c>
      <c r="F88" s="36">
        <v>2.075E7</v>
      </c>
      <c r="G88" s="36" t="s">
        <v>123</v>
      </c>
      <c r="H88" s="29" t="s">
        <v>45</v>
      </c>
    </row>
    <row r="89">
      <c r="A89" s="31" t="s">
        <v>100</v>
      </c>
      <c r="B89" s="32" t="s">
        <v>114</v>
      </c>
      <c r="C89" s="37">
        <v>183.0</v>
      </c>
      <c r="D89" s="34" t="s">
        <v>124</v>
      </c>
      <c r="E89" s="35">
        <v>3300000.0</v>
      </c>
      <c r="F89" s="36">
        <v>1.105E7</v>
      </c>
      <c r="G89" s="36" t="s">
        <v>125</v>
      </c>
      <c r="H89" s="29" t="s">
        <v>45</v>
      </c>
    </row>
    <row r="90">
      <c r="A90" s="19" t="s">
        <v>100</v>
      </c>
      <c r="B90" s="19" t="s">
        <v>114</v>
      </c>
      <c r="C90" s="20">
        <v>183.0</v>
      </c>
      <c r="D90" s="21" t="s">
        <v>126</v>
      </c>
      <c r="E90" s="28">
        <v>800.0</v>
      </c>
      <c r="F90" s="23">
        <v>1.093E7</v>
      </c>
      <c r="G90" s="23" t="s">
        <v>127</v>
      </c>
      <c r="H90" s="29" t="s">
        <v>45</v>
      </c>
    </row>
    <row r="91">
      <c r="A91" s="31" t="s">
        <v>100</v>
      </c>
      <c r="B91" s="32" t="s">
        <v>114</v>
      </c>
      <c r="C91" s="37">
        <v>183.0</v>
      </c>
      <c r="D91" s="34" t="s">
        <v>66</v>
      </c>
      <c r="E91" s="39">
        <f>600000+3700000</f>
        <v>4300000</v>
      </c>
      <c r="F91" s="36">
        <v>1.116E7</v>
      </c>
      <c r="G91" s="36" t="s">
        <v>128</v>
      </c>
      <c r="H91" s="29" t="s">
        <v>45</v>
      </c>
    </row>
    <row r="92">
      <c r="A92" s="19" t="s">
        <v>100</v>
      </c>
      <c r="B92" s="19" t="s">
        <v>114</v>
      </c>
      <c r="C92" s="20">
        <v>183.0</v>
      </c>
      <c r="D92" s="21" t="s">
        <v>129</v>
      </c>
      <c r="E92" s="22">
        <v>1771713.29</v>
      </c>
      <c r="F92" s="23">
        <v>1.093E7</v>
      </c>
      <c r="G92" s="23" t="s">
        <v>127</v>
      </c>
      <c r="H92" s="29" t="s">
        <v>45</v>
      </c>
    </row>
    <row r="93">
      <c r="A93" s="31" t="s">
        <v>100</v>
      </c>
      <c r="B93" s="32" t="s">
        <v>114</v>
      </c>
      <c r="C93" s="37">
        <v>183.0</v>
      </c>
      <c r="D93" s="34" t="s">
        <v>68</v>
      </c>
      <c r="E93" s="39">
        <f>2800000</f>
        <v>2800000</v>
      </c>
      <c r="F93" s="36">
        <v>1.116E7</v>
      </c>
      <c r="G93" s="36" t="s">
        <v>128</v>
      </c>
      <c r="H93" s="29" t="s">
        <v>45</v>
      </c>
    </row>
    <row r="94">
      <c r="A94" s="31" t="s">
        <v>100</v>
      </c>
      <c r="B94" s="32" t="s">
        <v>114</v>
      </c>
      <c r="C94" s="37">
        <v>183.0</v>
      </c>
      <c r="D94" s="34" t="s">
        <v>68</v>
      </c>
      <c r="E94" s="40">
        <v>50000.0</v>
      </c>
      <c r="F94" s="36">
        <v>1.115E7</v>
      </c>
      <c r="G94" s="36" t="s">
        <v>130</v>
      </c>
      <c r="H94" s="29" t="s">
        <v>45</v>
      </c>
    </row>
    <row r="95">
      <c r="A95" s="31" t="s">
        <v>100</v>
      </c>
      <c r="B95" s="32" t="s">
        <v>114</v>
      </c>
      <c r="C95" s="33">
        <v>183.0</v>
      </c>
      <c r="D95" s="34" t="s">
        <v>66</v>
      </c>
      <c r="E95" s="40">
        <v>250000.0</v>
      </c>
      <c r="F95" s="36">
        <v>1.112E7</v>
      </c>
      <c r="G95" s="36" t="s">
        <v>131</v>
      </c>
      <c r="H95" s="29" t="s">
        <v>45</v>
      </c>
    </row>
    <row r="96">
      <c r="A96" s="31" t="s">
        <v>100</v>
      </c>
      <c r="B96" s="32" t="s">
        <v>114</v>
      </c>
      <c r="C96" s="33">
        <v>183.0</v>
      </c>
      <c r="D96" s="34" t="s">
        <v>66</v>
      </c>
      <c r="E96" s="40">
        <v>400000.0</v>
      </c>
      <c r="F96" s="36">
        <v>1.115E7</v>
      </c>
      <c r="G96" s="36" t="s">
        <v>130</v>
      </c>
      <c r="H96" s="29" t="s">
        <v>45</v>
      </c>
    </row>
    <row r="97">
      <c r="A97" s="31" t="s">
        <v>100</v>
      </c>
      <c r="B97" s="32" t="s">
        <v>114</v>
      </c>
      <c r="C97" s="37">
        <v>183.0</v>
      </c>
      <c r="D97" s="34" t="s">
        <v>132</v>
      </c>
      <c r="E97" s="35">
        <f>3300000</f>
        <v>3300000</v>
      </c>
      <c r="F97" s="36">
        <v>1.022E7</v>
      </c>
      <c r="G97" s="36" t="s">
        <v>133</v>
      </c>
      <c r="H97" s="29" t="s">
        <v>45</v>
      </c>
    </row>
    <row r="98">
      <c r="A98" s="31" t="s">
        <v>100</v>
      </c>
      <c r="B98" s="41" t="s">
        <v>118</v>
      </c>
      <c r="C98" s="37">
        <v>183.0</v>
      </c>
      <c r="D98" s="34" t="s">
        <v>132</v>
      </c>
      <c r="E98" s="40">
        <v>1000000.0</v>
      </c>
      <c r="F98" s="36">
        <v>2.076E7</v>
      </c>
      <c r="G98" s="36" t="s">
        <v>134</v>
      </c>
      <c r="H98" s="29" t="s">
        <v>45</v>
      </c>
    </row>
    <row r="99">
      <c r="A99" s="31" t="s">
        <v>100</v>
      </c>
      <c r="B99" s="32" t="s">
        <v>114</v>
      </c>
      <c r="C99" s="37">
        <v>421.0</v>
      </c>
      <c r="D99" s="34" t="s">
        <v>126</v>
      </c>
      <c r="E99" s="35">
        <v>1000000.0</v>
      </c>
      <c r="F99" s="36">
        <v>1.09E7</v>
      </c>
      <c r="G99" s="36" t="s">
        <v>135</v>
      </c>
      <c r="H99" s="29" t="s">
        <v>45</v>
      </c>
    </row>
    <row r="100">
      <c r="A100" s="31" t="s">
        <v>100</v>
      </c>
      <c r="B100" s="32" t="s">
        <v>114</v>
      </c>
      <c r="C100" s="37">
        <v>542.0</v>
      </c>
      <c r="D100" s="34" t="s">
        <v>66</v>
      </c>
      <c r="E100" s="35">
        <v>2779.13</v>
      </c>
      <c r="F100" s="36">
        <v>1.347E7</v>
      </c>
      <c r="G100" s="36" t="s">
        <v>67</v>
      </c>
      <c r="H100" s="29" t="s">
        <v>12</v>
      </c>
    </row>
    <row r="101">
      <c r="A101" s="31" t="s">
        <v>100</v>
      </c>
      <c r="B101" s="32" t="s">
        <v>136</v>
      </c>
      <c r="C101" s="37">
        <v>122.0</v>
      </c>
      <c r="D101" s="34" t="s">
        <v>137</v>
      </c>
      <c r="E101" s="35">
        <v>1000.0</v>
      </c>
      <c r="F101" s="36">
        <v>2.251E7</v>
      </c>
      <c r="G101" s="36" t="s">
        <v>138</v>
      </c>
      <c r="H101" s="29" t="s">
        <v>45</v>
      </c>
    </row>
    <row r="102">
      <c r="A102" s="19" t="s">
        <v>100</v>
      </c>
      <c r="B102" s="19" t="s">
        <v>136</v>
      </c>
      <c r="C102" s="20">
        <v>244.0</v>
      </c>
      <c r="D102" s="21" t="s">
        <v>137</v>
      </c>
      <c r="E102" s="28">
        <v>5000000.0</v>
      </c>
      <c r="F102" s="23">
        <v>1.221E7</v>
      </c>
      <c r="G102" s="23" t="s">
        <v>139</v>
      </c>
      <c r="H102" s="29" t="s">
        <v>45</v>
      </c>
    </row>
    <row r="103">
      <c r="A103" s="31" t="s">
        <v>100</v>
      </c>
      <c r="B103" s="32" t="s">
        <v>140</v>
      </c>
      <c r="C103" s="37">
        <v>122.0</v>
      </c>
      <c r="D103" s="34" t="s">
        <v>141</v>
      </c>
      <c r="E103" s="40">
        <v>100000.0</v>
      </c>
      <c r="F103" s="36">
        <v>2.019E7</v>
      </c>
      <c r="G103" s="36" t="s">
        <v>142</v>
      </c>
      <c r="H103" s="29" t="s">
        <v>45</v>
      </c>
    </row>
    <row r="104">
      <c r="A104" s="19" t="s">
        <v>100</v>
      </c>
      <c r="B104" s="19" t="s">
        <v>140</v>
      </c>
      <c r="C104" s="20">
        <v>272.0</v>
      </c>
      <c r="D104" s="21" t="s">
        <v>141</v>
      </c>
      <c r="E104" s="28">
        <v>4000000.0</v>
      </c>
      <c r="F104" s="23">
        <v>2.021E7</v>
      </c>
      <c r="G104" s="23" t="s">
        <v>143</v>
      </c>
      <c r="H104" s="29" t="s">
        <v>45</v>
      </c>
    </row>
    <row r="105">
      <c r="A105" s="31" t="s">
        <v>100</v>
      </c>
      <c r="B105" s="32" t="s">
        <v>144</v>
      </c>
      <c r="C105" s="37">
        <v>302.0</v>
      </c>
      <c r="D105" s="34" t="s">
        <v>145</v>
      </c>
      <c r="E105" s="39">
        <f>44510000</f>
        <v>44510000</v>
      </c>
      <c r="F105" s="36">
        <v>1.173E7</v>
      </c>
      <c r="G105" s="36" t="s">
        <v>146</v>
      </c>
      <c r="H105" s="29" t="s">
        <v>45</v>
      </c>
    </row>
    <row r="106">
      <c r="A106" s="31" t="s">
        <v>100</v>
      </c>
      <c r="B106" s="32" t="s">
        <v>144</v>
      </c>
      <c r="C106" s="37">
        <v>302.0</v>
      </c>
      <c r="D106" s="34" t="s">
        <v>145</v>
      </c>
      <c r="E106" s="38">
        <v>1.2997E7</v>
      </c>
      <c r="F106" s="36">
        <v>2.208E7</v>
      </c>
      <c r="G106" s="36" t="s">
        <v>147</v>
      </c>
      <c r="H106" s="29" t="s">
        <v>45</v>
      </c>
    </row>
    <row r="107">
      <c r="A107" s="31" t="s">
        <v>100</v>
      </c>
      <c r="B107" s="32" t="s">
        <v>148</v>
      </c>
      <c r="C107" s="37">
        <v>695.0</v>
      </c>
      <c r="D107" s="34" t="s">
        <v>149</v>
      </c>
      <c r="E107" s="39">
        <f>700000+1</f>
        <v>700001</v>
      </c>
      <c r="F107" s="36">
        <v>1.151E7</v>
      </c>
      <c r="G107" s="36" t="s">
        <v>150</v>
      </c>
      <c r="H107" s="29" t="s">
        <v>45</v>
      </c>
    </row>
    <row r="108">
      <c r="A108" s="31" t="s">
        <v>100</v>
      </c>
      <c r="B108" s="32" t="s">
        <v>148</v>
      </c>
      <c r="C108" s="37">
        <v>695.0</v>
      </c>
      <c r="D108" s="34" t="s">
        <v>149</v>
      </c>
      <c r="E108" s="38">
        <v>1.0</v>
      </c>
      <c r="F108" s="36">
        <v>1152000.0</v>
      </c>
      <c r="G108" s="36" t="s">
        <v>151</v>
      </c>
      <c r="H108" s="29" t="s">
        <v>12</v>
      </c>
    </row>
    <row r="109">
      <c r="A109" s="31" t="s">
        <v>100</v>
      </c>
      <c r="B109" s="32" t="s">
        <v>152</v>
      </c>
      <c r="C109" s="37">
        <v>361.0</v>
      </c>
      <c r="D109" s="34" t="s">
        <v>153</v>
      </c>
      <c r="E109" s="38">
        <v>1900000.0</v>
      </c>
      <c r="F109" s="36">
        <v>2.089E7</v>
      </c>
      <c r="G109" s="36" t="s">
        <v>154</v>
      </c>
      <c r="H109" s="29" t="s">
        <v>45</v>
      </c>
    </row>
    <row r="110">
      <c r="A110" s="31" t="s">
        <v>100</v>
      </c>
      <c r="B110" s="32" t="s">
        <v>152</v>
      </c>
      <c r="C110" s="37">
        <v>361.0</v>
      </c>
      <c r="D110" s="34" t="s">
        <v>153</v>
      </c>
      <c r="E110" s="38">
        <v>2.495E7</v>
      </c>
      <c r="F110" s="36">
        <v>1.041E7</v>
      </c>
      <c r="G110" s="36" t="s">
        <v>155</v>
      </c>
      <c r="H110" s="29" t="s">
        <v>45</v>
      </c>
    </row>
    <row r="111">
      <c r="A111" s="31" t="s">
        <v>100</v>
      </c>
      <c r="B111" s="32" t="s">
        <v>152</v>
      </c>
      <c r="C111" s="37">
        <v>362.0</v>
      </c>
      <c r="D111" s="34" t="s">
        <v>153</v>
      </c>
      <c r="E111" s="35">
        <f>4000000</f>
        <v>4000000</v>
      </c>
      <c r="F111" s="36">
        <v>1.04E7</v>
      </c>
      <c r="G111" s="36" t="s">
        <v>156</v>
      </c>
      <c r="H111" s="29" t="s">
        <v>45</v>
      </c>
    </row>
    <row r="112">
      <c r="A112" s="31" t="s">
        <v>100</v>
      </c>
      <c r="B112" s="32" t="s">
        <v>152</v>
      </c>
      <c r="C112" s="37">
        <v>363.0</v>
      </c>
      <c r="D112" s="34" t="s">
        <v>157</v>
      </c>
      <c r="E112" s="38">
        <v>500.0</v>
      </c>
      <c r="F112" s="36">
        <v>2.082E7</v>
      </c>
      <c r="G112" s="36" t="s">
        <v>158</v>
      </c>
      <c r="H112" s="29" t="s">
        <v>45</v>
      </c>
    </row>
    <row r="113">
      <c r="A113" s="31" t="s">
        <v>100</v>
      </c>
      <c r="B113" s="32" t="s">
        <v>152</v>
      </c>
      <c r="C113" s="37">
        <v>363.0</v>
      </c>
      <c r="D113" s="34" t="s">
        <v>157</v>
      </c>
      <c r="E113" s="38">
        <v>500.0</v>
      </c>
      <c r="F113" s="36">
        <v>1.025E7</v>
      </c>
      <c r="G113" s="36" t="s">
        <v>159</v>
      </c>
      <c r="H113" s="29" t="s">
        <v>45</v>
      </c>
    </row>
    <row r="114">
      <c r="A114" s="31" t="s">
        <v>100</v>
      </c>
      <c r="B114" s="32" t="s">
        <v>152</v>
      </c>
      <c r="C114" s="37">
        <v>363.0</v>
      </c>
      <c r="D114" s="34" t="s">
        <v>157</v>
      </c>
      <c r="E114" s="38">
        <v>1601000.0</v>
      </c>
      <c r="F114" s="36">
        <v>1.023E7</v>
      </c>
      <c r="G114" s="36" t="s">
        <v>160</v>
      </c>
      <c r="H114" s="29" t="s">
        <v>45</v>
      </c>
    </row>
    <row r="115">
      <c r="A115" s="31" t="s">
        <v>100</v>
      </c>
      <c r="B115" s="32" t="s">
        <v>161</v>
      </c>
      <c r="C115" s="37">
        <v>122.0</v>
      </c>
      <c r="D115" s="36" t="s">
        <v>162</v>
      </c>
      <c r="E115" s="38">
        <v>147472.27</v>
      </c>
      <c r="F115" s="36">
        <v>1.299E7</v>
      </c>
      <c r="G115" s="36" t="s">
        <v>163</v>
      </c>
      <c r="H115" s="29" t="s">
        <v>45</v>
      </c>
    </row>
    <row r="116">
      <c r="A116" s="31" t="s">
        <v>100</v>
      </c>
      <c r="B116" s="32" t="s">
        <v>161</v>
      </c>
      <c r="C116" s="37">
        <v>122.0</v>
      </c>
      <c r="D116" s="36" t="s">
        <v>164</v>
      </c>
      <c r="E116" s="38">
        <v>151000.0</v>
      </c>
      <c r="F116" s="36">
        <v>1.299E7</v>
      </c>
      <c r="G116" s="36" t="s">
        <v>163</v>
      </c>
      <c r="H116" s="29" t="s">
        <v>45</v>
      </c>
    </row>
    <row r="117">
      <c r="A117" s="31" t="s">
        <v>100</v>
      </c>
      <c r="B117" s="32" t="s">
        <v>161</v>
      </c>
      <c r="C117" s="33">
        <v>392.0</v>
      </c>
      <c r="D117" s="34" t="s">
        <v>162</v>
      </c>
      <c r="E117" s="38">
        <v>750000.0</v>
      </c>
      <c r="F117" s="36">
        <v>1.29E7</v>
      </c>
      <c r="G117" s="36" t="s">
        <v>165</v>
      </c>
      <c r="H117" s="29" t="s">
        <v>45</v>
      </c>
    </row>
    <row r="118">
      <c r="A118" s="31" t="s">
        <v>100</v>
      </c>
      <c r="B118" s="32" t="s">
        <v>161</v>
      </c>
      <c r="C118" s="33">
        <v>392.0</v>
      </c>
      <c r="D118" s="34" t="s">
        <v>162</v>
      </c>
      <c r="E118" s="38">
        <v>290000.0</v>
      </c>
      <c r="F118" s="36">
        <v>1.292E7</v>
      </c>
      <c r="G118" s="36" t="s">
        <v>166</v>
      </c>
      <c r="H118" s="29" t="s">
        <v>45</v>
      </c>
    </row>
    <row r="119">
      <c r="A119" s="31" t="s">
        <v>100</v>
      </c>
      <c r="B119" s="32" t="s">
        <v>167</v>
      </c>
      <c r="C119" s="37">
        <v>243.0</v>
      </c>
      <c r="D119" s="34" t="s">
        <v>168</v>
      </c>
      <c r="E119" s="35">
        <v>2251384.93</v>
      </c>
      <c r="F119" s="36">
        <v>1.011E7</v>
      </c>
      <c r="G119" s="36" t="s">
        <v>169</v>
      </c>
      <c r="H119" s="29" t="s">
        <v>45</v>
      </c>
    </row>
    <row r="120">
      <c r="A120" s="19" t="s">
        <v>100</v>
      </c>
      <c r="B120" s="19" t="s">
        <v>167</v>
      </c>
      <c r="C120" s="20">
        <v>422.0</v>
      </c>
      <c r="D120" s="21" t="s">
        <v>170</v>
      </c>
      <c r="E120" s="28">
        <v>5000.0</v>
      </c>
      <c r="F120" s="23">
        <v>1.036E7</v>
      </c>
      <c r="G120" s="23" t="s">
        <v>171</v>
      </c>
      <c r="H120" s="29" t="s">
        <v>45</v>
      </c>
    </row>
    <row r="121">
      <c r="A121" s="31" t="s">
        <v>100</v>
      </c>
      <c r="B121" s="32" t="s">
        <v>167</v>
      </c>
      <c r="C121" s="37">
        <v>422.0</v>
      </c>
      <c r="D121" s="34" t="s">
        <v>172</v>
      </c>
      <c r="E121" s="35">
        <v>589560.0</v>
      </c>
      <c r="F121" s="36">
        <v>1.147E7</v>
      </c>
      <c r="G121" s="36" t="s">
        <v>173</v>
      </c>
      <c r="H121" s="29" t="s">
        <v>45</v>
      </c>
    </row>
    <row r="122">
      <c r="A122" s="31" t="s">
        <v>100</v>
      </c>
      <c r="B122" s="32" t="s">
        <v>174</v>
      </c>
      <c r="C122" s="37">
        <v>451.0</v>
      </c>
      <c r="D122" s="34" t="s">
        <v>175</v>
      </c>
      <c r="E122" s="38">
        <v>1000.0</v>
      </c>
      <c r="F122" s="36">
        <v>1.058E7</v>
      </c>
      <c r="G122" s="36" t="s">
        <v>176</v>
      </c>
      <c r="H122" s="29" t="s">
        <v>12</v>
      </c>
    </row>
    <row r="123">
      <c r="A123" s="31" t="s">
        <v>100</v>
      </c>
      <c r="B123" s="32" t="s">
        <v>174</v>
      </c>
      <c r="C123" s="37">
        <v>451.0</v>
      </c>
      <c r="D123" s="34" t="s">
        <v>175</v>
      </c>
      <c r="E123" s="38">
        <v>9362139.29</v>
      </c>
      <c r="F123" s="36">
        <v>1.059E7</v>
      </c>
      <c r="G123" s="36" t="s">
        <v>177</v>
      </c>
      <c r="H123" s="29" t="s">
        <v>12</v>
      </c>
    </row>
    <row r="124">
      <c r="A124" s="31" t="s">
        <v>100</v>
      </c>
      <c r="B124" s="32" t="s">
        <v>174</v>
      </c>
      <c r="C124" s="37">
        <v>451.0</v>
      </c>
      <c r="D124" s="34" t="s">
        <v>175</v>
      </c>
      <c r="E124" s="38">
        <v>3.49143533E7</v>
      </c>
      <c r="F124" s="36">
        <v>1.06E7</v>
      </c>
      <c r="G124" s="36" t="s">
        <v>178</v>
      </c>
      <c r="H124" s="29" t="s">
        <v>45</v>
      </c>
    </row>
    <row r="125">
      <c r="A125" s="31" t="s">
        <v>100</v>
      </c>
      <c r="B125" s="32" t="s">
        <v>174</v>
      </c>
      <c r="C125" s="37">
        <v>451.0</v>
      </c>
      <c r="D125" s="34" t="s">
        <v>175</v>
      </c>
      <c r="E125" s="38">
        <v>1001000.0</v>
      </c>
      <c r="F125" s="36">
        <v>1.061E7</v>
      </c>
      <c r="G125" s="36" t="s">
        <v>179</v>
      </c>
      <c r="H125" s="29" t="s">
        <v>45</v>
      </c>
    </row>
    <row r="126">
      <c r="A126" s="31" t="s">
        <v>100</v>
      </c>
      <c r="B126" s="32" t="s">
        <v>174</v>
      </c>
      <c r="C126" s="37">
        <v>451.0</v>
      </c>
      <c r="D126" s="34" t="s">
        <v>175</v>
      </c>
      <c r="E126" s="38">
        <v>1000.0</v>
      </c>
      <c r="F126" s="36">
        <v>1.34E7</v>
      </c>
      <c r="G126" s="36" t="s">
        <v>180</v>
      </c>
      <c r="H126" s="29" t="s">
        <v>45</v>
      </c>
    </row>
    <row r="127">
      <c r="A127" s="31" t="s">
        <v>100</v>
      </c>
      <c r="B127" s="32" t="s">
        <v>174</v>
      </c>
      <c r="C127" s="37">
        <v>451.0</v>
      </c>
      <c r="D127" s="34" t="s">
        <v>175</v>
      </c>
      <c r="E127" s="38">
        <v>1000.0</v>
      </c>
      <c r="F127" s="36">
        <v>2.306E7</v>
      </c>
      <c r="G127" s="36" t="s">
        <v>181</v>
      </c>
      <c r="H127" s="29" t="s">
        <v>45</v>
      </c>
    </row>
    <row r="128">
      <c r="A128" s="31" t="s">
        <v>100</v>
      </c>
      <c r="B128" s="32" t="s">
        <v>174</v>
      </c>
      <c r="C128" s="37">
        <v>451.0</v>
      </c>
      <c r="D128" s="34" t="s">
        <v>96</v>
      </c>
      <c r="E128" s="38">
        <v>3295000.0</v>
      </c>
      <c r="F128" s="36">
        <v>1.099E7</v>
      </c>
      <c r="G128" s="36" t="s">
        <v>182</v>
      </c>
      <c r="H128" s="29" t="s">
        <v>12</v>
      </c>
    </row>
    <row r="129">
      <c r="A129" s="31" t="s">
        <v>100</v>
      </c>
      <c r="B129" s="32" t="s">
        <v>174</v>
      </c>
      <c r="C129" s="37">
        <v>451.0</v>
      </c>
      <c r="D129" s="34" t="s">
        <v>96</v>
      </c>
      <c r="E129" s="38">
        <v>33.52</v>
      </c>
      <c r="F129" s="36">
        <v>2.201E7</v>
      </c>
      <c r="G129" s="36" t="s">
        <v>181</v>
      </c>
      <c r="H129" s="29" t="s">
        <v>45</v>
      </c>
    </row>
    <row r="130">
      <c r="A130" s="19" t="s">
        <v>100</v>
      </c>
      <c r="B130" s="19" t="s">
        <v>174</v>
      </c>
      <c r="C130" s="20">
        <v>451.0</v>
      </c>
      <c r="D130" s="21" t="s">
        <v>183</v>
      </c>
      <c r="E130" s="28">
        <v>1000.0</v>
      </c>
      <c r="F130" s="23">
        <v>1.059E7</v>
      </c>
      <c r="G130" s="23" t="s">
        <v>177</v>
      </c>
      <c r="H130" s="29" t="s">
        <v>12</v>
      </c>
    </row>
    <row r="131">
      <c r="A131" s="31" t="s">
        <v>100</v>
      </c>
      <c r="B131" s="32" t="s">
        <v>174</v>
      </c>
      <c r="C131" s="37">
        <v>451.0</v>
      </c>
      <c r="D131" s="34" t="s">
        <v>184</v>
      </c>
      <c r="E131" s="38">
        <v>1.78625E7</v>
      </c>
      <c r="F131" s="36">
        <v>1.097E7</v>
      </c>
      <c r="G131" s="36" t="s">
        <v>185</v>
      </c>
      <c r="H131" s="29" t="s">
        <v>45</v>
      </c>
    </row>
    <row r="132">
      <c r="A132" s="31" t="s">
        <v>100</v>
      </c>
      <c r="B132" s="32" t="s">
        <v>174</v>
      </c>
      <c r="C132" s="37">
        <v>451.0</v>
      </c>
      <c r="D132" s="34" t="s">
        <v>184</v>
      </c>
      <c r="E132" s="38">
        <v>9938000.0</v>
      </c>
      <c r="F132" s="36">
        <v>1.098E7</v>
      </c>
      <c r="G132" s="36" t="s">
        <v>186</v>
      </c>
      <c r="H132" s="29" t="s">
        <v>45</v>
      </c>
    </row>
    <row r="133">
      <c r="A133" s="31" t="s">
        <v>100</v>
      </c>
      <c r="B133" s="32" t="s">
        <v>174</v>
      </c>
      <c r="C133" s="37">
        <v>451.0</v>
      </c>
      <c r="D133" s="34" t="s">
        <v>184</v>
      </c>
      <c r="E133" s="38">
        <f>4800000+3600000+9000000</f>
        <v>17400000</v>
      </c>
      <c r="F133" s="36">
        <v>1.099E7</v>
      </c>
      <c r="G133" s="36" t="s">
        <v>182</v>
      </c>
      <c r="H133" s="29" t="s">
        <v>12</v>
      </c>
    </row>
    <row r="134">
      <c r="A134" s="31" t="s">
        <v>100</v>
      </c>
      <c r="B134" s="32" t="s">
        <v>174</v>
      </c>
      <c r="C134" s="37">
        <v>451.0</v>
      </c>
      <c r="D134" s="34" t="s">
        <v>184</v>
      </c>
      <c r="E134" s="38">
        <v>5705000.0</v>
      </c>
      <c r="F134" s="36">
        <v>1.1E7</v>
      </c>
      <c r="G134" s="36" t="s">
        <v>187</v>
      </c>
      <c r="H134" s="29" t="s">
        <v>45</v>
      </c>
    </row>
    <row r="135">
      <c r="A135" s="31" t="s">
        <v>100</v>
      </c>
      <c r="B135" s="32" t="s">
        <v>174</v>
      </c>
      <c r="C135" s="37">
        <v>451.0</v>
      </c>
      <c r="D135" s="34" t="s">
        <v>184</v>
      </c>
      <c r="E135" s="38">
        <v>1.0E7</v>
      </c>
      <c r="F135" s="36">
        <v>1.331E7</v>
      </c>
      <c r="G135" s="36" t="s">
        <v>188</v>
      </c>
      <c r="H135" s="29" t="s">
        <v>45</v>
      </c>
    </row>
    <row r="136">
      <c r="A136" s="31" t="s">
        <v>100</v>
      </c>
      <c r="B136" s="32" t="s">
        <v>174</v>
      </c>
      <c r="C136" s="37">
        <v>451.0</v>
      </c>
      <c r="D136" s="34" t="s">
        <v>184</v>
      </c>
      <c r="E136" s="38">
        <v>1.6034E7</v>
      </c>
      <c r="F136" s="36">
        <v>2.142E7</v>
      </c>
      <c r="G136" s="36" t="s">
        <v>189</v>
      </c>
      <c r="H136" s="29" t="s">
        <v>45</v>
      </c>
    </row>
    <row r="137">
      <c r="A137" s="31" t="s">
        <v>100</v>
      </c>
      <c r="B137" s="32" t="s">
        <v>174</v>
      </c>
      <c r="C137" s="37">
        <v>512.0</v>
      </c>
      <c r="D137" s="34" t="s">
        <v>175</v>
      </c>
      <c r="E137" s="39">
        <f>3000</f>
        <v>3000</v>
      </c>
      <c r="F137" s="36">
        <v>1.337E7</v>
      </c>
      <c r="G137" s="36" t="s">
        <v>190</v>
      </c>
      <c r="H137" s="29" t="s">
        <v>45</v>
      </c>
    </row>
    <row r="138">
      <c r="A138" s="31" t="s">
        <v>100</v>
      </c>
      <c r="B138" s="32" t="s">
        <v>191</v>
      </c>
      <c r="C138" s="37">
        <v>122.0</v>
      </c>
      <c r="D138" s="34" t="s">
        <v>192</v>
      </c>
      <c r="E138" s="38">
        <v>150000.0</v>
      </c>
      <c r="F138" s="36">
        <v>2.275E7</v>
      </c>
      <c r="G138" s="36" t="s">
        <v>193</v>
      </c>
      <c r="H138" s="29" t="s">
        <v>45</v>
      </c>
    </row>
    <row r="139">
      <c r="A139" s="19" t="s">
        <v>100</v>
      </c>
      <c r="B139" s="19" t="s">
        <v>191</v>
      </c>
      <c r="C139" s="20">
        <v>482.0</v>
      </c>
      <c r="D139" s="21" t="s">
        <v>194</v>
      </c>
      <c r="E139" s="28">
        <v>100000.0</v>
      </c>
      <c r="F139" s="23">
        <v>1.057E7</v>
      </c>
      <c r="G139" s="23" t="s">
        <v>195</v>
      </c>
      <c r="H139" s="29" t="s">
        <v>45</v>
      </c>
    </row>
    <row r="140">
      <c r="A140" s="31" t="s">
        <v>100</v>
      </c>
      <c r="B140" s="32" t="s">
        <v>191</v>
      </c>
      <c r="C140" s="37">
        <v>482.0</v>
      </c>
      <c r="D140" s="34" t="s">
        <v>175</v>
      </c>
      <c r="E140" s="40">
        <v>7541842.2</v>
      </c>
      <c r="F140" s="36">
        <v>1.057E7</v>
      </c>
      <c r="G140" s="36" t="s">
        <v>195</v>
      </c>
      <c r="H140" s="29" t="s">
        <v>45</v>
      </c>
    </row>
    <row r="141">
      <c r="A141" s="31" t="s">
        <v>100</v>
      </c>
      <c r="B141" s="32" t="s">
        <v>196</v>
      </c>
      <c r="C141" s="37">
        <v>512.0</v>
      </c>
      <c r="D141" s="34" t="s">
        <v>175</v>
      </c>
      <c r="E141" s="38">
        <v>3000.0</v>
      </c>
      <c r="F141" s="36">
        <v>1.338E7</v>
      </c>
      <c r="G141" s="36" t="s">
        <v>197</v>
      </c>
      <c r="H141" s="29" t="s">
        <v>45</v>
      </c>
    </row>
    <row r="142">
      <c r="A142" s="19" t="s">
        <v>100</v>
      </c>
      <c r="B142" s="19" t="s">
        <v>196</v>
      </c>
      <c r="C142" s="20">
        <v>512.0</v>
      </c>
      <c r="D142" s="21" t="s">
        <v>184</v>
      </c>
      <c r="E142" s="22">
        <v>3221000.0</v>
      </c>
      <c r="F142" s="23">
        <v>1.101E7</v>
      </c>
      <c r="G142" s="23" t="s">
        <v>198</v>
      </c>
      <c r="H142" s="29" t="s">
        <v>45</v>
      </c>
    </row>
    <row r="143">
      <c r="A143" s="19" t="s">
        <v>100</v>
      </c>
      <c r="B143" s="19" t="s">
        <v>196</v>
      </c>
      <c r="C143" s="20">
        <v>512.0</v>
      </c>
      <c r="D143" s="21" t="s">
        <v>184</v>
      </c>
      <c r="E143" s="22">
        <v>1000000.0</v>
      </c>
      <c r="F143" s="23">
        <v>1.102E7</v>
      </c>
      <c r="G143" s="23" t="s">
        <v>197</v>
      </c>
      <c r="H143" s="29" t="s">
        <v>45</v>
      </c>
    </row>
    <row r="144">
      <c r="A144" s="19" t="s">
        <v>100</v>
      </c>
      <c r="B144" s="19" t="s">
        <v>196</v>
      </c>
      <c r="C144" s="20">
        <v>512.0</v>
      </c>
      <c r="D144" s="21" t="s">
        <v>184</v>
      </c>
      <c r="E144" s="22">
        <v>8550000.0</v>
      </c>
      <c r="F144" s="23">
        <v>1.103E7</v>
      </c>
      <c r="G144" s="23" t="s">
        <v>199</v>
      </c>
      <c r="H144" s="29" t="s">
        <v>45</v>
      </c>
    </row>
    <row r="145">
      <c r="A145" s="31" t="s">
        <v>100</v>
      </c>
      <c r="B145" s="32" t="s">
        <v>196</v>
      </c>
      <c r="C145" s="37">
        <v>512.0</v>
      </c>
      <c r="D145" s="34" t="s">
        <v>70</v>
      </c>
      <c r="E145" s="38">
        <v>6030000.0</v>
      </c>
      <c r="F145" s="36">
        <v>1.129E7</v>
      </c>
      <c r="G145" s="36" t="s">
        <v>200</v>
      </c>
      <c r="H145" s="29" t="s">
        <v>45</v>
      </c>
    </row>
    <row r="146">
      <c r="A146" s="31" t="s">
        <v>100</v>
      </c>
      <c r="B146" s="32" t="s">
        <v>196</v>
      </c>
      <c r="C146" s="37">
        <v>512.0</v>
      </c>
      <c r="D146" s="34" t="s">
        <v>70</v>
      </c>
      <c r="E146" s="38">
        <v>799000.0</v>
      </c>
      <c r="F146" s="36">
        <v>1130000.0</v>
      </c>
      <c r="G146" s="36" t="s">
        <v>201</v>
      </c>
      <c r="H146" s="29" t="s">
        <v>45</v>
      </c>
    </row>
    <row r="147">
      <c r="A147" s="19" t="s">
        <v>100</v>
      </c>
      <c r="B147" s="19" t="s">
        <v>196</v>
      </c>
      <c r="C147" s="20">
        <v>512.0</v>
      </c>
      <c r="D147" s="21" t="s">
        <v>72</v>
      </c>
      <c r="E147" s="28">
        <v>325000.0</v>
      </c>
      <c r="F147" s="23">
        <v>1.045E7</v>
      </c>
      <c r="G147" s="23" t="s">
        <v>202</v>
      </c>
      <c r="H147" s="29" t="s">
        <v>45</v>
      </c>
    </row>
    <row r="148">
      <c r="A148" s="31" t="s">
        <v>100</v>
      </c>
      <c r="B148" s="32" t="s">
        <v>73</v>
      </c>
      <c r="C148" s="37">
        <v>122.0</v>
      </c>
      <c r="D148" s="34" t="s">
        <v>16</v>
      </c>
      <c r="E148" s="35">
        <v>1000.0</v>
      </c>
      <c r="F148" s="36">
        <v>2.163E7</v>
      </c>
      <c r="G148" s="36" t="s">
        <v>75</v>
      </c>
      <c r="H148" s="29" t="s">
        <v>45</v>
      </c>
    </row>
    <row r="149">
      <c r="A149" s="19" t="s">
        <v>100</v>
      </c>
      <c r="B149" s="19" t="s">
        <v>73</v>
      </c>
      <c r="C149" s="20">
        <v>542.0</v>
      </c>
      <c r="D149" s="21" t="s">
        <v>80</v>
      </c>
      <c r="E149" s="28">
        <v>1000.0</v>
      </c>
      <c r="F149" s="23">
        <v>1.138E7</v>
      </c>
      <c r="G149" s="23" t="s">
        <v>203</v>
      </c>
      <c r="H149" s="29" t="s">
        <v>45</v>
      </c>
    </row>
    <row r="150">
      <c r="A150" s="31" t="s">
        <v>100</v>
      </c>
      <c r="B150" s="32" t="s">
        <v>204</v>
      </c>
      <c r="C150" s="37">
        <v>571.0</v>
      </c>
      <c r="D150" s="34" t="s">
        <v>205</v>
      </c>
      <c r="E150" s="35">
        <v>10.0</v>
      </c>
      <c r="F150" s="36">
        <v>1.156E7</v>
      </c>
      <c r="G150" s="36" t="s">
        <v>206</v>
      </c>
      <c r="H150" s="29" t="s">
        <v>45</v>
      </c>
    </row>
    <row r="151">
      <c r="A151" s="19" t="s">
        <v>100</v>
      </c>
      <c r="B151" s="19" t="s">
        <v>24</v>
      </c>
      <c r="C151" s="20">
        <v>451.0</v>
      </c>
      <c r="D151" s="21" t="s">
        <v>25</v>
      </c>
      <c r="E151" s="28">
        <v>1000000.0</v>
      </c>
      <c r="F151" s="23">
        <v>1.084E7</v>
      </c>
      <c r="G151" s="23" t="s">
        <v>207</v>
      </c>
      <c r="H151" s="29" t="s">
        <v>45</v>
      </c>
    </row>
    <row r="152">
      <c r="A152" s="31" t="s">
        <v>100</v>
      </c>
      <c r="B152" s="32" t="s">
        <v>24</v>
      </c>
      <c r="C152" s="37">
        <v>451.0</v>
      </c>
      <c r="D152" s="34" t="s">
        <v>208</v>
      </c>
      <c r="E152" s="35">
        <v>2000000.0</v>
      </c>
      <c r="F152" s="36">
        <v>1.073E7</v>
      </c>
      <c r="G152" s="36" t="s">
        <v>209</v>
      </c>
      <c r="H152" s="29" t="s">
        <v>45</v>
      </c>
    </row>
    <row r="153">
      <c r="A153" s="31" t="s">
        <v>100</v>
      </c>
      <c r="B153" s="32" t="s">
        <v>24</v>
      </c>
      <c r="C153" s="37">
        <v>608.0</v>
      </c>
      <c r="D153" s="34" t="s">
        <v>25</v>
      </c>
      <c r="E153" s="35">
        <f>3100000</f>
        <v>3100000</v>
      </c>
      <c r="F153" s="36">
        <v>1.079E7</v>
      </c>
      <c r="G153" s="36" t="s">
        <v>35</v>
      </c>
      <c r="H153" s="29" t="s">
        <v>45</v>
      </c>
    </row>
    <row r="154">
      <c r="A154" s="31" t="s">
        <v>100</v>
      </c>
      <c r="B154" s="32" t="s">
        <v>24</v>
      </c>
      <c r="C154" s="37">
        <v>608.0</v>
      </c>
      <c r="D154" s="34" t="s">
        <v>25</v>
      </c>
      <c r="E154" s="38">
        <v>1000.0</v>
      </c>
      <c r="F154" s="36">
        <v>1.081E7</v>
      </c>
      <c r="G154" s="36" t="s">
        <v>29</v>
      </c>
      <c r="H154" s="29" t="s">
        <v>45</v>
      </c>
    </row>
    <row r="155">
      <c r="A155" s="31" t="s">
        <v>100</v>
      </c>
      <c r="B155" s="32" t="s">
        <v>210</v>
      </c>
      <c r="C155" s="37">
        <v>127.0</v>
      </c>
      <c r="D155" s="34" t="s">
        <v>175</v>
      </c>
      <c r="E155" s="38">
        <v>1000.0</v>
      </c>
      <c r="F155" s="36">
        <v>1.339E7</v>
      </c>
      <c r="G155" s="36" t="s">
        <v>211</v>
      </c>
      <c r="H155" s="29" t="s">
        <v>45</v>
      </c>
    </row>
    <row r="156">
      <c r="A156" s="31" t="s">
        <v>100</v>
      </c>
      <c r="B156" s="32" t="s">
        <v>212</v>
      </c>
      <c r="C156" s="37">
        <v>122.0</v>
      </c>
      <c r="D156" s="34" t="s">
        <v>96</v>
      </c>
      <c r="E156" s="35">
        <v>335.17</v>
      </c>
      <c r="F156" s="36">
        <v>2.203E7</v>
      </c>
      <c r="G156" s="36" t="s">
        <v>213</v>
      </c>
      <c r="H156" s="29" t="s">
        <v>45</v>
      </c>
    </row>
    <row r="157">
      <c r="A157" s="31" t="s">
        <v>100</v>
      </c>
      <c r="B157" s="32" t="s">
        <v>212</v>
      </c>
      <c r="C157" s="37">
        <v>451.0</v>
      </c>
      <c r="D157" s="34" t="s">
        <v>96</v>
      </c>
      <c r="E157" s="35">
        <v>368.69</v>
      </c>
      <c r="F157" s="36">
        <v>1.171E7</v>
      </c>
      <c r="G157" s="36" t="s">
        <v>214</v>
      </c>
      <c r="H157" s="29" t="s">
        <v>45</v>
      </c>
    </row>
    <row r="158">
      <c r="A158" s="31" t="s">
        <v>100</v>
      </c>
      <c r="B158" s="32" t="s">
        <v>212</v>
      </c>
      <c r="C158" s="37">
        <v>781.0</v>
      </c>
      <c r="D158" s="34" t="s">
        <v>96</v>
      </c>
      <c r="E158" s="35">
        <v>750308.03</v>
      </c>
      <c r="F158" s="36">
        <v>1.168E7</v>
      </c>
      <c r="G158" s="36" t="s">
        <v>215</v>
      </c>
      <c r="H158" s="29" t="s">
        <v>45</v>
      </c>
    </row>
    <row r="159">
      <c r="A159" s="31" t="s">
        <v>100</v>
      </c>
      <c r="B159" s="32" t="s">
        <v>212</v>
      </c>
      <c r="C159" s="37">
        <v>782.0</v>
      </c>
      <c r="D159" s="34" t="s">
        <v>96</v>
      </c>
      <c r="E159" s="38">
        <v>33.52</v>
      </c>
      <c r="F159" s="36">
        <v>1.169E7</v>
      </c>
      <c r="G159" s="36" t="s">
        <v>216</v>
      </c>
      <c r="H159" s="29" t="s">
        <v>45</v>
      </c>
    </row>
    <row r="160">
      <c r="A160" s="31" t="s">
        <v>100</v>
      </c>
      <c r="B160" s="32" t="s">
        <v>212</v>
      </c>
      <c r="C160" s="37">
        <v>782.0</v>
      </c>
      <c r="D160" s="34" t="s">
        <v>96</v>
      </c>
      <c r="E160" s="38">
        <v>5.753131818E7</v>
      </c>
      <c r="F160" s="36">
        <v>2.196E7</v>
      </c>
      <c r="G160" s="36" t="s">
        <v>217</v>
      </c>
      <c r="H160" s="29" t="s">
        <v>45</v>
      </c>
    </row>
    <row r="161">
      <c r="A161" s="31" t="s">
        <v>100</v>
      </c>
      <c r="B161" s="32" t="s">
        <v>212</v>
      </c>
      <c r="C161" s="37">
        <v>782.0</v>
      </c>
      <c r="D161" s="34" t="s">
        <v>96</v>
      </c>
      <c r="E161" s="38">
        <v>9541877.72</v>
      </c>
      <c r="F161" s="36">
        <v>2.197E7</v>
      </c>
      <c r="G161" s="36" t="s">
        <v>218</v>
      </c>
      <c r="H161" s="29" t="s">
        <v>45</v>
      </c>
    </row>
    <row r="162">
      <c r="A162" s="31" t="s">
        <v>100</v>
      </c>
      <c r="B162" s="32" t="s">
        <v>212</v>
      </c>
      <c r="C162" s="37">
        <v>782.0</v>
      </c>
      <c r="D162" s="34" t="s">
        <v>96</v>
      </c>
      <c r="E162" s="38">
        <v>3.330026246E7</v>
      </c>
      <c r="F162" s="36">
        <v>2.198E7</v>
      </c>
      <c r="G162" s="36" t="s">
        <v>219</v>
      </c>
      <c r="H162" s="29" t="s">
        <v>45</v>
      </c>
    </row>
    <row r="163">
      <c r="A163" s="31" t="s">
        <v>100</v>
      </c>
      <c r="B163" s="32" t="s">
        <v>212</v>
      </c>
      <c r="C163" s="37">
        <v>782.0</v>
      </c>
      <c r="D163" s="34" t="s">
        <v>96</v>
      </c>
      <c r="E163" s="38">
        <v>33516.79</v>
      </c>
      <c r="F163" s="36">
        <v>2.199E7</v>
      </c>
      <c r="G163" s="36" t="s">
        <v>220</v>
      </c>
      <c r="H163" s="29" t="s">
        <v>45</v>
      </c>
    </row>
    <row r="164">
      <c r="A164" s="31" t="s">
        <v>100</v>
      </c>
      <c r="B164" s="32" t="s">
        <v>212</v>
      </c>
      <c r="C164" s="37">
        <v>782.0</v>
      </c>
      <c r="D164" s="34" t="s">
        <v>96</v>
      </c>
      <c r="E164" s="38">
        <v>335.17</v>
      </c>
      <c r="F164" s="36">
        <v>2.2E7</v>
      </c>
      <c r="G164" s="36" t="s">
        <v>221</v>
      </c>
      <c r="H164" s="29" t="s">
        <v>45</v>
      </c>
    </row>
    <row r="165">
      <c r="A165" s="31" t="s">
        <v>100</v>
      </c>
      <c r="B165" s="32" t="s">
        <v>222</v>
      </c>
      <c r="C165" s="37">
        <v>812.0</v>
      </c>
      <c r="D165" s="34" t="s">
        <v>223</v>
      </c>
      <c r="E165" s="35">
        <v>4466051.73</v>
      </c>
      <c r="F165" s="36">
        <v>1.332E7</v>
      </c>
      <c r="G165" s="36" t="s">
        <v>224</v>
      </c>
      <c r="H165" s="29" t="s">
        <v>45</v>
      </c>
    </row>
    <row r="166">
      <c r="F166" s="42"/>
      <c r="G166" s="18"/>
      <c r="H166" s="18"/>
    </row>
    <row r="167" ht="22.5" customHeight="1">
      <c r="A167" s="1" t="s">
        <v>0</v>
      </c>
      <c r="B167" s="2" t="s">
        <v>1</v>
      </c>
      <c r="C167" s="2" t="s">
        <v>2</v>
      </c>
      <c r="D167" s="2" t="s">
        <v>3</v>
      </c>
      <c r="E167" s="2" t="s">
        <v>4</v>
      </c>
      <c r="F167" s="3" t="s">
        <v>5</v>
      </c>
      <c r="G167" s="3" t="s">
        <v>6</v>
      </c>
      <c r="H167" s="18"/>
    </row>
    <row r="168">
      <c r="A168" s="19" t="s">
        <v>225</v>
      </c>
      <c r="B168" s="19" t="s">
        <v>226</v>
      </c>
      <c r="C168" s="20">
        <v>244.0</v>
      </c>
      <c r="D168" s="21" t="s">
        <v>137</v>
      </c>
      <c r="E168" s="22">
        <v>79000.0</v>
      </c>
      <c r="F168" s="23">
        <v>1.222E7</v>
      </c>
      <c r="G168" s="23" t="s">
        <v>227</v>
      </c>
      <c r="H168" s="25" t="s">
        <v>45</v>
      </c>
    </row>
    <row r="169">
      <c r="A169" s="19" t="s">
        <v>225</v>
      </c>
      <c r="B169" s="19" t="s">
        <v>226</v>
      </c>
      <c r="C169" s="20">
        <v>244.0</v>
      </c>
      <c r="D169" s="21" t="s">
        <v>137</v>
      </c>
      <c r="E169" s="22">
        <v>1000000.0</v>
      </c>
      <c r="F169" s="23">
        <v>1.236E7</v>
      </c>
      <c r="G169" s="23" t="s">
        <v>228</v>
      </c>
      <c r="H169" s="25" t="s">
        <v>45</v>
      </c>
    </row>
    <row r="170">
      <c r="A170" s="19" t="s">
        <v>225</v>
      </c>
      <c r="B170" s="19" t="s">
        <v>226</v>
      </c>
      <c r="C170" s="20">
        <v>244.0</v>
      </c>
      <c r="D170" s="21" t="s">
        <v>137</v>
      </c>
      <c r="E170" s="22">
        <v>69000.0</v>
      </c>
      <c r="F170" s="23">
        <v>1.254E7</v>
      </c>
      <c r="G170" s="23" t="s">
        <v>229</v>
      </c>
      <c r="H170" s="25" t="s">
        <v>45</v>
      </c>
    </row>
    <row r="171">
      <c r="A171" s="19" t="s">
        <v>225</v>
      </c>
      <c r="B171" s="19" t="s">
        <v>226</v>
      </c>
      <c r="C171" s="20">
        <v>244.0</v>
      </c>
      <c r="D171" s="21" t="s">
        <v>137</v>
      </c>
      <c r="E171" s="22">
        <v>800000.0</v>
      </c>
      <c r="F171" s="23">
        <v>1.266E7</v>
      </c>
      <c r="G171" s="23" t="s">
        <v>230</v>
      </c>
      <c r="H171" s="25" t="s">
        <v>12</v>
      </c>
    </row>
    <row r="172">
      <c r="A172" s="19" t="s">
        <v>225</v>
      </c>
      <c r="B172" s="19" t="s">
        <v>226</v>
      </c>
      <c r="C172" s="20">
        <v>244.0</v>
      </c>
      <c r="D172" s="21" t="s">
        <v>231</v>
      </c>
      <c r="E172" s="22">
        <v>529000.0</v>
      </c>
      <c r="F172" s="23">
        <v>1.249E7</v>
      </c>
      <c r="G172" s="23" t="s">
        <v>232</v>
      </c>
      <c r="H172" s="29" t="s">
        <v>12</v>
      </c>
    </row>
    <row r="173">
      <c r="A173" s="19" t="s">
        <v>225</v>
      </c>
      <c r="B173" s="19" t="s">
        <v>226</v>
      </c>
      <c r="C173" s="20">
        <v>244.0</v>
      </c>
      <c r="D173" s="21" t="s">
        <v>231</v>
      </c>
      <c r="E173" s="22">
        <v>50000.0</v>
      </c>
      <c r="F173" s="23">
        <v>1.266E7</v>
      </c>
      <c r="G173" s="23" t="s">
        <v>230</v>
      </c>
      <c r="H173" s="29" t="s">
        <v>12</v>
      </c>
    </row>
    <row r="174">
      <c r="A174" s="19" t="s">
        <v>225</v>
      </c>
      <c r="B174" s="19" t="s">
        <v>233</v>
      </c>
      <c r="C174" s="20">
        <v>422.0</v>
      </c>
      <c r="D174" s="21" t="s">
        <v>153</v>
      </c>
      <c r="E174" s="28">
        <v>65200.0</v>
      </c>
      <c r="F174" s="23">
        <v>1.043E7</v>
      </c>
      <c r="G174" s="23" t="s">
        <v>234</v>
      </c>
      <c r="H174" s="25" t="s">
        <v>45</v>
      </c>
    </row>
    <row r="175">
      <c r="A175" s="19" t="s">
        <v>225</v>
      </c>
      <c r="B175" s="19" t="s">
        <v>233</v>
      </c>
      <c r="C175" s="20">
        <v>422.0</v>
      </c>
      <c r="D175" s="21" t="s">
        <v>137</v>
      </c>
      <c r="E175" s="28">
        <v>580000.0</v>
      </c>
      <c r="F175" s="23">
        <v>1.223E7</v>
      </c>
      <c r="G175" s="23" t="s">
        <v>235</v>
      </c>
      <c r="H175" s="25" t="s">
        <v>45</v>
      </c>
    </row>
    <row r="176">
      <c r="A176" s="19" t="s">
        <v>225</v>
      </c>
      <c r="B176" s="19" t="s">
        <v>233</v>
      </c>
      <c r="C176" s="20">
        <v>422.0</v>
      </c>
      <c r="D176" s="21" t="s">
        <v>236</v>
      </c>
      <c r="E176" s="22">
        <v>178000.0</v>
      </c>
      <c r="F176" s="23">
        <v>1.027E7</v>
      </c>
      <c r="G176" s="23" t="s">
        <v>237</v>
      </c>
      <c r="H176" s="25" t="s">
        <v>45</v>
      </c>
    </row>
    <row r="177">
      <c r="A177" s="19" t="s">
        <v>225</v>
      </c>
      <c r="B177" s="19" t="s">
        <v>233</v>
      </c>
      <c r="C177" s="20">
        <v>422.0</v>
      </c>
      <c r="D177" s="21" t="s">
        <v>236</v>
      </c>
      <c r="E177" s="22">
        <v>71000.0</v>
      </c>
      <c r="F177" s="23">
        <v>1.028E7</v>
      </c>
      <c r="G177" s="23" t="s">
        <v>238</v>
      </c>
      <c r="H177" s="25" t="s">
        <v>45</v>
      </c>
    </row>
    <row r="178">
      <c r="A178" s="19" t="s">
        <v>225</v>
      </c>
      <c r="B178" s="19" t="s">
        <v>233</v>
      </c>
      <c r="C178" s="20">
        <v>422.0</v>
      </c>
      <c r="D178" s="21" t="s">
        <v>236</v>
      </c>
      <c r="E178" s="22">
        <v>321000.0</v>
      </c>
      <c r="F178" s="23">
        <v>1.029E7</v>
      </c>
      <c r="G178" s="23" t="s">
        <v>239</v>
      </c>
      <c r="H178" s="25" t="s">
        <v>45</v>
      </c>
    </row>
    <row r="179">
      <c r="A179" s="19" t="s">
        <v>225</v>
      </c>
      <c r="B179" s="19" t="s">
        <v>233</v>
      </c>
      <c r="C179" s="20">
        <v>422.0</v>
      </c>
      <c r="D179" s="21" t="s">
        <v>236</v>
      </c>
      <c r="E179" s="22">
        <v>221000.0</v>
      </c>
      <c r="F179" s="23">
        <v>1.03E7</v>
      </c>
      <c r="G179" s="23" t="s">
        <v>240</v>
      </c>
      <c r="H179" s="25" t="s">
        <v>45</v>
      </c>
    </row>
    <row r="180">
      <c r="A180" s="19" t="s">
        <v>225</v>
      </c>
      <c r="B180" s="19" t="s">
        <v>233</v>
      </c>
      <c r="C180" s="20">
        <v>422.0</v>
      </c>
      <c r="D180" s="21" t="s">
        <v>236</v>
      </c>
      <c r="E180" s="22">
        <v>4048000.0</v>
      </c>
      <c r="F180" s="23">
        <v>2.083E7</v>
      </c>
      <c r="G180" s="23" t="s">
        <v>241</v>
      </c>
      <c r="H180" s="25" t="s">
        <v>45</v>
      </c>
    </row>
    <row r="181">
      <c r="A181" s="19" t="s">
        <v>225</v>
      </c>
      <c r="B181" s="19" t="s">
        <v>233</v>
      </c>
      <c r="C181" s="20">
        <v>422.0</v>
      </c>
      <c r="D181" s="21" t="s">
        <v>242</v>
      </c>
      <c r="E181" s="28">
        <v>1030000.0</v>
      </c>
      <c r="F181" s="23">
        <v>1.035E7</v>
      </c>
      <c r="G181" s="23" t="s">
        <v>238</v>
      </c>
      <c r="H181" s="25" t="s">
        <v>45</v>
      </c>
    </row>
    <row r="182">
      <c r="A182" s="19" t="s">
        <v>225</v>
      </c>
      <c r="B182" s="19" t="s">
        <v>233</v>
      </c>
      <c r="C182" s="20">
        <v>422.0</v>
      </c>
      <c r="D182" s="21" t="s">
        <v>172</v>
      </c>
      <c r="E182" s="28">
        <f>2415560-1937560</f>
        <v>478000</v>
      </c>
      <c r="F182" s="23">
        <v>1.146E7</v>
      </c>
      <c r="G182" s="23" t="s">
        <v>243</v>
      </c>
      <c r="H182" s="25" t="s">
        <v>45</v>
      </c>
    </row>
    <row r="183">
      <c r="A183" s="19" t="s">
        <v>225</v>
      </c>
      <c r="B183" s="19" t="s">
        <v>233</v>
      </c>
      <c r="C183" s="20">
        <v>423.0</v>
      </c>
      <c r="D183" s="21" t="s">
        <v>107</v>
      </c>
      <c r="E183" s="22">
        <v>2000.0</v>
      </c>
      <c r="F183" s="23">
        <v>1.086E7</v>
      </c>
      <c r="G183" s="23" t="s">
        <v>244</v>
      </c>
      <c r="H183" s="29" t="s">
        <v>12</v>
      </c>
    </row>
    <row r="184">
      <c r="A184" s="19" t="s">
        <v>225</v>
      </c>
      <c r="B184" s="19" t="s">
        <v>233</v>
      </c>
      <c r="C184" s="20">
        <v>423.0</v>
      </c>
      <c r="D184" s="21" t="s">
        <v>107</v>
      </c>
      <c r="E184" s="22">
        <v>2000.0</v>
      </c>
      <c r="F184" s="23">
        <v>1.087E7</v>
      </c>
      <c r="G184" s="23" t="s">
        <v>245</v>
      </c>
      <c r="H184" s="29" t="s">
        <v>12</v>
      </c>
    </row>
    <row r="185">
      <c r="A185" s="19" t="s">
        <v>225</v>
      </c>
      <c r="B185" s="19" t="s">
        <v>210</v>
      </c>
      <c r="C185" s="20">
        <v>127.0</v>
      </c>
      <c r="D185" s="21" t="s">
        <v>175</v>
      </c>
      <c r="E185" s="28">
        <v>1151000.0</v>
      </c>
      <c r="F185" s="23">
        <v>1.339E7</v>
      </c>
      <c r="G185" s="23" t="s">
        <v>211</v>
      </c>
      <c r="H185" s="25" t="s">
        <v>45</v>
      </c>
    </row>
    <row r="186">
      <c r="A186" s="19" t="s">
        <v>225</v>
      </c>
      <c r="B186" s="19" t="s">
        <v>210</v>
      </c>
      <c r="C186" s="20">
        <v>127.0</v>
      </c>
      <c r="D186" s="21" t="s">
        <v>246</v>
      </c>
      <c r="E186" s="22">
        <v>797700.0</v>
      </c>
      <c r="F186" s="23">
        <v>1.031E7</v>
      </c>
      <c r="G186" s="23" t="s">
        <v>211</v>
      </c>
      <c r="H186" s="25" t="s">
        <v>45</v>
      </c>
    </row>
    <row r="187">
      <c r="A187" s="19" t="s">
        <v>225</v>
      </c>
      <c r="B187" s="19" t="s">
        <v>210</v>
      </c>
      <c r="C187" s="20">
        <v>127.0</v>
      </c>
      <c r="D187" s="21" t="s">
        <v>246</v>
      </c>
      <c r="E187" s="22">
        <v>5156900.0</v>
      </c>
      <c r="F187" s="23">
        <v>1.032E7</v>
      </c>
      <c r="G187" s="23" t="s">
        <v>247</v>
      </c>
      <c r="H187" s="25" t="s">
        <v>45</v>
      </c>
    </row>
    <row r="188">
      <c r="A188" s="19" t="s">
        <v>225</v>
      </c>
      <c r="B188" s="19" t="s">
        <v>210</v>
      </c>
      <c r="C188" s="20">
        <v>127.0</v>
      </c>
      <c r="D188" s="21" t="s">
        <v>246</v>
      </c>
      <c r="E188" s="22">
        <v>102000.0</v>
      </c>
      <c r="F188" s="23">
        <v>1.033E7</v>
      </c>
      <c r="G188" s="23" t="s">
        <v>248</v>
      </c>
      <c r="H188" s="25" t="s">
        <v>45</v>
      </c>
    </row>
    <row r="189">
      <c r="A189" s="19" t="s">
        <v>225</v>
      </c>
      <c r="B189" s="19" t="s">
        <v>210</v>
      </c>
      <c r="C189" s="20">
        <v>127.0</v>
      </c>
      <c r="D189" s="21" t="s">
        <v>246</v>
      </c>
      <c r="E189" s="22">
        <v>20000.0</v>
      </c>
      <c r="F189" s="23">
        <v>1.034E7</v>
      </c>
      <c r="G189" s="23" t="s">
        <v>249</v>
      </c>
      <c r="H189" s="25" t="s">
        <v>45</v>
      </c>
    </row>
    <row r="190">
      <c r="A190" s="19" t="s">
        <v>225</v>
      </c>
      <c r="B190" s="19" t="s">
        <v>210</v>
      </c>
      <c r="C190" s="20">
        <v>127.0</v>
      </c>
      <c r="D190" s="21" t="s">
        <v>246</v>
      </c>
      <c r="E190" s="22">
        <v>6110535.52</v>
      </c>
      <c r="F190" s="23">
        <v>2.084E7</v>
      </c>
      <c r="G190" s="23" t="s">
        <v>250</v>
      </c>
      <c r="H190" s="25" t="s">
        <v>45</v>
      </c>
    </row>
    <row r="191">
      <c r="F191" s="17"/>
      <c r="G191" s="18"/>
      <c r="H191" s="18"/>
    </row>
    <row r="192" ht="22.5" customHeight="1">
      <c r="A192" s="1" t="s">
        <v>0</v>
      </c>
      <c r="B192" s="2" t="s">
        <v>1</v>
      </c>
      <c r="C192" s="2" t="s">
        <v>2</v>
      </c>
      <c r="D192" s="2" t="s">
        <v>3</v>
      </c>
      <c r="E192" s="2" t="s">
        <v>4</v>
      </c>
      <c r="F192" s="3" t="s">
        <v>5</v>
      </c>
      <c r="G192" s="3" t="s">
        <v>6</v>
      </c>
      <c r="H192" s="4" t="s">
        <v>7</v>
      </c>
    </row>
    <row r="193">
      <c r="A193" s="19" t="s">
        <v>251</v>
      </c>
      <c r="B193" s="19" t="s">
        <v>252</v>
      </c>
      <c r="C193" s="20">
        <v>124.0</v>
      </c>
      <c r="D193" s="21" t="s">
        <v>253</v>
      </c>
      <c r="E193" s="28">
        <v>660000.0</v>
      </c>
      <c r="F193" s="23">
        <v>1.085E7</v>
      </c>
      <c r="G193" s="23" t="s">
        <v>254</v>
      </c>
      <c r="H193" s="43" t="s">
        <v>45</v>
      </c>
    </row>
    <row r="194">
      <c r="A194" s="19" t="s">
        <v>251</v>
      </c>
      <c r="B194" s="19" t="s">
        <v>9</v>
      </c>
      <c r="C194" s="20">
        <v>541.0</v>
      </c>
      <c r="D194" s="21" t="s">
        <v>16</v>
      </c>
      <c r="E194" s="28">
        <v>11000.0</v>
      </c>
      <c r="F194" s="23">
        <v>1.126E7</v>
      </c>
      <c r="G194" s="44" t="s">
        <v>22</v>
      </c>
      <c r="H194" s="43" t="s">
        <v>12</v>
      </c>
    </row>
    <row r="195">
      <c r="A195" s="19" t="s">
        <v>251</v>
      </c>
      <c r="B195" s="19" t="s">
        <v>9</v>
      </c>
      <c r="C195" s="20">
        <v>541.0</v>
      </c>
      <c r="D195" s="21" t="s">
        <v>81</v>
      </c>
      <c r="E195" s="28">
        <v>3000.0</v>
      </c>
      <c r="F195" s="23">
        <v>1.141E7</v>
      </c>
      <c r="G195" s="44" t="s">
        <v>255</v>
      </c>
      <c r="H195" s="43" t="s">
        <v>12</v>
      </c>
    </row>
    <row r="196">
      <c r="F196" s="17"/>
      <c r="G196" s="18"/>
      <c r="H196" s="18"/>
    </row>
    <row r="197" ht="22.5" customHeight="1">
      <c r="A197" s="1" t="s">
        <v>0</v>
      </c>
      <c r="B197" s="2" t="s">
        <v>1</v>
      </c>
      <c r="C197" s="2" t="s">
        <v>2</v>
      </c>
      <c r="D197" s="2" t="s">
        <v>3</v>
      </c>
      <c r="E197" s="2" t="s">
        <v>4</v>
      </c>
      <c r="F197" s="3" t="s">
        <v>5</v>
      </c>
      <c r="G197" s="3" t="s">
        <v>6</v>
      </c>
      <c r="H197" s="4" t="s">
        <v>7</v>
      </c>
    </row>
    <row r="198">
      <c r="A198" s="19" t="s">
        <v>256</v>
      </c>
      <c r="B198" s="19" t="s">
        <v>73</v>
      </c>
      <c r="C198" s="20">
        <v>542.0</v>
      </c>
      <c r="D198" s="21" t="s">
        <v>76</v>
      </c>
      <c r="E198" s="28">
        <v>1000.0</v>
      </c>
      <c r="F198" s="23">
        <v>1.135E7</v>
      </c>
      <c r="G198" s="23" t="s">
        <v>92</v>
      </c>
      <c r="H198" s="25" t="s">
        <v>12</v>
      </c>
    </row>
    <row r="199">
      <c r="A199" s="19" t="s">
        <v>256</v>
      </c>
      <c r="B199" s="19" t="s">
        <v>73</v>
      </c>
      <c r="C199" s="20">
        <v>542.0</v>
      </c>
      <c r="D199" s="21" t="s">
        <v>80</v>
      </c>
      <c r="E199" s="28">
        <v>1000.0</v>
      </c>
      <c r="F199" s="23">
        <v>1.135E7</v>
      </c>
      <c r="G199" s="23" t="s">
        <v>92</v>
      </c>
      <c r="H199" s="25" t="s">
        <v>12</v>
      </c>
    </row>
    <row r="200">
      <c r="A200" s="19" t="s">
        <v>256</v>
      </c>
      <c r="B200" s="19" t="s">
        <v>257</v>
      </c>
      <c r="C200" s="20">
        <v>571.0</v>
      </c>
      <c r="D200" s="21" t="s">
        <v>205</v>
      </c>
      <c r="E200" s="28">
        <v>60.0</v>
      </c>
      <c r="F200" s="23">
        <v>1.156E7</v>
      </c>
      <c r="G200" s="23" t="s">
        <v>206</v>
      </c>
      <c r="H200" s="25" t="s">
        <v>12</v>
      </c>
    </row>
    <row r="201">
      <c r="A201" s="19" t="s">
        <v>256</v>
      </c>
      <c r="B201" s="19" t="s">
        <v>257</v>
      </c>
      <c r="C201" s="20">
        <v>573.0</v>
      </c>
      <c r="D201" s="21" t="s">
        <v>258</v>
      </c>
      <c r="E201" s="22">
        <v>1156486.0</v>
      </c>
      <c r="F201" s="23">
        <v>1.219E7</v>
      </c>
      <c r="G201" s="23" t="s">
        <v>259</v>
      </c>
      <c r="H201" s="25" t="s">
        <v>12</v>
      </c>
    </row>
    <row r="202">
      <c r="A202" s="19" t="s">
        <v>256</v>
      </c>
      <c r="B202" s="19" t="s">
        <v>257</v>
      </c>
      <c r="C202" s="20">
        <v>573.0</v>
      </c>
      <c r="D202" s="21" t="s">
        <v>258</v>
      </c>
      <c r="E202" s="22">
        <v>1.0</v>
      </c>
      <c r="F202" s="23">
        <v>1.22E7</v>
      </c>
      <c r="G202" s="23" t="s">
        <v>260</v>
      </c>
      <c r="H202" s="25" t="s">
        <v>12</v>
      </c>
    </row>
    <row r="203">
      <c r="A203" s="19" t="s">
        <v>256</v>
      </c>
      <c r="B203" s="19" t="s">
        <v>257</v>
      </c>
      <c r="C203" s="20">
        <v>573.0</v>
      </c>
      <c r="D203" s="21" t="s">
        <v>258</v>
      </c>
      <c r="E203" s="22">
        <v>1.0</v>
      </c>
      <c r="F203" s="23">
        <v>1.278E7</v>
      </c>
      <c r="G203" s="23" t="s">
        <v>261</v>
      </c>
      <c r="H203" s="25" t="s">
        <v>12</v>
      </c>
    </row>
    <row r="204">
      <c r="A204" s="19" t="s">
        <v>256</v>
      </c>
      <c r="B204" s="19" t="s">
        <v>257</v>
      </c>
      <c r="C204" s="20">
        <v>573.0</v>
      </c>
      <c r="D204" s="21" t="s">
        <v>258</v>
      </c>
      <c r="E204" s="22">
        <v>2.0</v>
      </c>
      <c r="F204" s="23">
        <v>1.28E7</v>
      </c>
      <c r="G204" s="23" t="s">
        <v>262</v>
      </c>
      <c r="H204" s="25" t="s">
        <v>12</v>
      </c>
    </row>
    <row r="205">
      <c r="A205" s="19" t="s">
        <v>256</v>
      </c>
      <c r="B205" s="19" t="s">
        <v>263</v>
      </c>
      <c r="C205" s="20">
        <v>573.0</v>
      </c>
      <c r="D205" s="21" t="s">
        <v>40</v>
      </c>
      <c r="E205" s="22">
        <v>70000.0</v>
      </c>
      <c r="F205" s="23">
        <v>1.341E7</v>
      </c>
      <c r="G205" s="23" t="s">
        <v>264</v>
      </c>
      <c r="H205" s="25" t="s">
        <v>12</v>
      </c>
    </row>
    <row r="206">
      <c r="A206" s="19" t="s">
        <v>256</v>
      </c>
      <c r="B206" s="19" t="s">
        <v>263</v>
      </c>
      <c r="C206" s="20">
        <v>573.0</v>
      </c>
      <c r="D206" s="21" t="s">
        <v>40</v>
      </c>
      <c r="E206" s="22">
        <v>270000.0</v>
      </c>
      <c r="F206" s="23">
        <v>1.342E7</v>
      </c>
      <c r="G206" s="23" t="s">
        <v>265</v>
      </c>
      <c r="H206" s="25" t="s">
        <v>12</v>
      </c>
    </row>
    <row r="207">
      <c r="A207" s="19" t="s">
        <v>256</v>
      </c>
      <c r="B207" s="19" t="s">
        <v>263</v>
      </c>
      <c r="C207" s="20">
        <v>573.0</v>
      </c>
      <c r="D207" s="21" t="s">
        <v>40</v>
      </c>
      <c r="E207" s="22">
        <v>680000.0</v>
      </c>
      <c r="F207" s="23">
        <v>1.343E7</v>
      </c>
      <c r="G207" s="23" t="s">
        <v>266</v>
      </c>
      <c r="H207" s="25" t="s">
        <v>12</v>
      </c>
    </row>
    <row r="208">
      <c r="A208" s="19" t="s">
        <v>256</v>
      </c>
      <c r="B208" s="19" t="s">
        <v>263</v>
      </c>
      <c r="C208" s="20">
        <v>573.0</v>
      </c>
      <c r="D208" s="21" t="s">
        <v>205</v>
      </c>
      <c r="E208" s="28">
        <v>700050.0</v>
      </c>
      <c r="F208" s="23">
        <v>1.158E7</v>
      </c>
      <c r="G208" s="23" t="s">
        <v>267</v>
      </c>
      <c r="H208" s="25" t="s">
        <v>12</v>
      </c>
    </row>
    <row r="209">
      <c r="F209" s="17"/>
      <c r="G209" s="18"/>
      <c r="H209" s="18"/>
    </row>
    <row r="210" ht="22.5" customHeight="1">
      <c r="A210" s="1" t="s">
        <v>0</v>
      </c>
      <c r="B210" s="2" t="s">
        <v>1</v>
      </c>
      <c r="C210" s="2" t="s">
        <v>2</v>
      </c>
      <c r="D210" s="2" t="s">
        <v>3</v>
      </c>
      <c r="E210" s="2" t="s">
        <v>4</v>
      </c>
      <c r="F210" s="3" t="s">
        <v>5</v>
      </c>
      <c r="G210" s="3" t="s">
        <v>6</v>
      </c>
      <c r="H210" s="4" t="s">
        <v>7</v>
      </c>
    </row>
    <row r="211">
      <c r="A211" s="19" t="s">
        <v>268</v>
      </c>
      <c r="B211" s="19" t="s">
        <v>114</v>
      </c>
      <c r="C211" s="20">
        <v>182.0</v>
      </c>
      <c r="D211" s="21" t="s">
        <v>119</v>
      </c>
      <c r="E211" s="22">
        <v>4000.0</v>
      </c>
      <c r="F211" s="23">
        <v>1.013E7</v>
      </c>
      <c r="G211" s="45" t="s">
        <v>269</v>
      </c>
      <c r="H211" s="25" t="s">
        <v>12</v>
      </c>
    </row>
    <row r="212">
      <c r="A212" s="19" t="s">
        <v>268</v>
      </c>
      <c r="B212" s="19" t="s">
        <v>114</v>
      </c>
      <c r="C212" s="20">
        <v>182.0</v>
      </c>
      <c r="D212" s="21" t="s">
        <v>119</v>
      </c>
      <c r="E212" s="22">
        <v>589667.0</v>
      </c>
      <c r="F212" s="23">
        <v>2.272E7</v>
      </c>
      <c r="G212" s="45" t="s">
        <v>270</v>
      </c>
      <c r="H212" s="25" t="s">
        <v>12</v>
      </c>
    </row>
    <row r="213">
      <c r="A213" s="19" t="s">
        <v>268</v>
      </c>
      <c r="B213" s="19" t="s">
        <v>114</v>
      </c>
      <c r="C213" s="20">
        <v>182.0</v>
      </c>
      <c r="D213" s="21" t="s">
        <v>116</v>
      </c>
      <c r="E213" s="28">
        <v>1.7753E7</v>
      </c>
      <c r="F213" s="23">
        <v>2.079E7</v>
      </c>
      <c r="G213" s="45" t="s">
        <v>271</v>
      </c>
      <c r="H213" s="25" t="s">
        <v>12</v>
      </c>
    </row>
    <row r="214">
      <c r="A214" s="19" t="s">
        <v>225</v>
      </c>
      <c r="B214" s="19" t="s">
        <v>226</v>
      </c>
      <c r="C214" s="20">
        <v>244.0</v>
      </c>
      <c r="D214" s="21" t="s">
        <v>231</v>
      </c>
      <c r="E214" s="28">
        <v>250000.0</v>
      </c>
      <c r="F214" s="23">
        <v>1.242E7</v>
      </c>
      <c r="G214" s="45" t="s">
        <v>272</v>
      </c>
      <c r="H214" s="46" t="s">
        <v>45</v>
      </c>
    </row>
    <row r="215">
      <c r="F215" s="47"/>
    </row>
  </sheetData>
  <dataValidations>
    <dataValidation type="custom" allowBlank="1" showDropDown="1" sqref="E2:E31">
      <formula1>AND(ISNUMBER(E2),(NOT(OR(NOT(ISERROR(DATEVALUE(E2))), AND(ISNUMBER(E2), LEFT(CELL("format", E2))="D")))))</formula1>
    </dataValidation>
    <dataValidation type="list" allowBlank="1" showErrorMessage="1" sqref="H2:H31 H34:H69 H73:H165 H168:H190 H193:H195 H198:H208 H211:H214">
      <formula1>"Exclusivo,Não Exclusivo"</formula1>
    </dataValidation>
  </dataValidations>
  <drawing r:id="rId4"/>
  <legacyDrawing r:id="rId5"/>
  <tableParts count="7">
    <tablePart r:id="rId13"/>
    <tablePart r:id="rId14"/>
    <tablePart r:id="rId15"/>
    <tablePart r:id="rId16"/>
    <tablePart r:id="rId17"/>
    <tablePart r:id="rId18"/>
    <tablePart r:id="rId19"/>
  </tableParts>
</worksheet>
</file>